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sch\"/>
    </mc:Choice>
  </mc:AlternateContent>
  <xr:revisionPtr revIDLastSave="0" documentId="8_{E0904CF8-9418-477B-ADD1-1960ADB98D6E}" xr6:coauthVersionLast="45" xr6:coauthVersionMax="45" xr10:uidLastSave="{00000000-0000-0000-0000-000000000000}"/>
  <bookViews>
    <workbookView xWindow="-98" yWindow="-98" windowWidth="21795" windowHeight="12975" activeTab="1" xr2:uid="{00000000-000D-0000-FFFF-FFFF00000000}"/>
  </bookViews>
  <sheets>
    <sheet name="RASH MODELI" sheetId="4" r:id="rId1"/>
    <sheet name="Лист1" sheetId="6" r:id="rId2"/>
    <sheet name="Лист3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3" i="4" l="1"/>
  <c r="D126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24" i="4" l="1"/>
  <c r="D125" i="4"/>
  <c r="BF123" i="4"/>
  <c r="BF125" i="4" s="1"/>
  <c r="BE123" i="4"/>
  <c r="BE125" i="4" s="1"/>
  <c r="BD123" i="4"/>
  <c r="BD126" i="4" s="1"/>
  <c r="BC123" i="4"/>
  <c r="BC126" i="4" s="1"/>
  <c r="BB123" i="4"/>
  <c r="BB125" i="4" s="1"/>
  <c r="BA123" i="4"/>
  <c r="BA125" i="4" s="1"/>
  <c r="AZ123" i="4"/>
  <c r="AZ126" i="4" s="1"/>
  <c r="AY123" i="4"/>
  <c r="AY126" i="4" s="1"/>
  <c r="AX123" i="4"/>
  <c r="AX125" i="4" s="1"/>
  <c r="AW123" i="4"/>
  <c r="AW125" i="4" s="1"/>
  <c r="AV123" i="4"/>
  <c r="AV126" i="4" s="1"/>
  <c r="AU123" i="4"/>
  <c r="AU126" i="4" s="1"/>
  <c r="AT123" i="4"/>
  <c r="AT125" i="4" s="1"/>
  <c r="AS123" i="4"/>
  <c r="AS125" i="4" s="1"/>
  <c r="AR123" i="4"/>
  <c r="AR126" i="4" s="1"/>
  <c r="AQ123" i="4"/>
  <c r="AQ126" i="4" s="1"/>
  <c r="AP123" i="4"/>
  <c r="AP125" i="4" s="1"/>
  <c r="AO123" i="4"/>
  <c r="AO125" i="4" s="1"/>
  <c r="AN123" i="4"/>
  <c r="AN126" i="4" s="1"/>
  <c r="AM123" i="4"/>
  <c r="AM126" i="4" s="1"/>
  <c r="AL123" i="4"/>
  <c r="AL125" i="4" s="1"/>
  <c r="AK123" i="4"/>
  <c r="AK125" i="4" s="1"/>
  <c r="AJ123" i="4"/>
  <c r="AJ126" i="4" s="1"/>
  <c r="AI123" i="4"/>
  <c r="AI126" i="4" s="1"/>
  <c r="AH123" i="4"/>
  <c r="AH125" i="4" s="1"/>
  <c r="AG123" i="4"/>
  <c r="AG125" i="4" s="1"/>
  <c r="AF123" i="4"/>
  <c r="AF126" i="4" s="1"/>
  <c r="AE123" i="4"/>
  <c r="AE126" i="4" s="1"/>
  <c r="AD123" i="4"/>
  <c r="AD125" i="4" s="1"/>
  <c r="AC123" i="4"/>
  <c r="AC125" i="4" s="1"/>
  <c r="AB123" i="4"/>
  <c r="AB126" i="4" s="1"/>
  <c r="AA123" i="4"/>
  <c r="AA125" i="4" s="1"/>
  <c r="Z123" i="4"/>
  <c r="Z125" i="4" s="1"/>
  <c r="Y123" i="4"/>
  <c r="Y125" i="4" s="1"/>
  <c r="X123" i="4"/>
  <c r="X126" i="4" s="1"/>
  <c r="W123" i="4"/>
  <c r="W126" i="4" s="1"/>
  <c r="V123" i="4"/>
  <c r="V125" i="4" s="1"/>
  <c r="U123" i="4"/>
  <c r="U125" i="4" s="1"/>
  <c r="T123" i="4"/>
  <c r="T126" i="4" s="1"/>
  <c r="S123" i="4"/>
  <c r="S126" i="4" s="1"/>
  <c r="R123" i="4"/>
  <c r="R125" i="4" s="1"/>
  <c r="Q123" i="4"/>
  <c r="Q125" i="4" s="1"/>
  <c r="P123" i="4"/>
  <c r="P126" i="4" s="1"/>
  <c r="O123" i="4"/>
  <c r="O126" i="4" s="1"/>
  <c r="N123" i="4"/>
  <c r="N125" i="4" s="1"/>
  <c r="M123" i="4"/>
  <c r="M125" i="4" s="1"/>
  <c r="L123" i="4"/>
  <c r="L126" i="4" s="1"/>
  <c r="K123" i="4"/>
  <c r="K126" i="4" s="1"/>
  <c r="J123" i="4"/>
  <c r="J125" i="4" s="1"/>
  <c r="I123" i="4"/>
  <c r="I125" i="4" s="1"/>
  <c r="H123" i="4"/>
  <c r="H126" i="4" s="1"/>
  <c r="G123" i="4"/>
  <c r="G125" i="4" s="1"/>
  <c r="F123" i="4"/>
  <c r="F125" i="4" s="1"/>
  <c r="E123" i="4"/>
  <c r="E125" i="4" s="1"/>
  <c r="M124" i="4" l="1"/>
  <c r="AS124" i="4"/>
  <c r="U126" i="4"/>
  <c r="BA126" i="4"/>
  <c r="Q124" i="4"/>
  <c r="AW124" i="4"/>
  <c r="Y126" i="4"/>
  <c r="BE126" i="4"/>
  <c r="E124" i="4"/>
  <c r="U124" i="4"/>
  <c r="AK124" i="4"/>
  <c r="BA124" i="4"/>
  <c r="M126" i="4"/>
  <c r="AC126" i="4"/>
  <c r="AS126" i="4"/>
  <c r="AC124" i="4"/>
  <c r="E126" i="4"/>
  <c r="AK126" i="4"/>
  <c r="AG124" i="4"/>
  <c r="I126" i="4"/>
  <c r="AO126" i="4"/>
  <c r="I124" i="4"/>
  <c r="Y124" i="4"/>
  <c r="AO124" i="4"/>
  <c r="BE124" i="4"/>
  <c r="Q126" i="4"/>
  <c r="AG126" i="4"/>
  <c r="AW126" i="4"/>
  <c r="O125" i="4"/>
  <c r="W125" i="4"/>
  <c r="AI125" i="4"/>
  <c r="AM125" i="4"/>
  <c r="AU125" i="4"/>
  <c r="AY125" i="4"/>
  <c r="BC125" i="4"/>
  <c r="F124" i="4"/>
  <c r="J124" i="4"/>
  <c r="N124" i="4"/>
  <c r="R124" i="4"/>
  <c r="V124" i="4"/>
  <c r="Z124" i="4"/>
  <c r="AD124" i="4"/>
  <c r="AH124" i="4"/>
  <c r="AL124" i="4"/>
  <c r="AP124" i="4"/>
  <c r="AT124" i="4"/>
  <c r="AX124" i="4"/>
  <c r="BB124" i="4"/>
  <c r="BF124" i="4"/>
  <c r="H125" i="4"/>
  <c r="L125" i="4"/>
  <c r="P125" i="4"/>
  <c r="T125" i="4"/>
  <c r="X125" i="4"/>
  <c r="AB125" i="4"/>
  <c r="AF125" i="4"/>
  <c r="AJ125" i="4"/>
  <c r="AN125" i="4"/>
  <c r="AR125" i="4"/>
  <c r="AV125" i="4"/>
  <c r="AZ125" i="4"/>
  <c r="BD125" i="4"/>
  <c r="F126" i="4"/>
  <c r="J126" i="4"/>
  <c r="N126" i="4"/>
  <c r="R126" i="4"/>
  <c r="V126" i="4"/>
  <c r="Z126" i="4"/>
  <c r="AD126" i="4"/>
  <c r="AH126" i="4"/>
  <c r="AL126" i="4"/>
  <c r="AP126" i="4"/>
  <c r="AT126" i="4"/>
  <c r="AX126" i="4"/>
  <c r="BB126" i="4"/>
  <c r="BF126" i="4"/>
  <c r="K125" i="4"/>
  <c r="S125" i="4"/>
  <c r="AE125" i="4"/>
  <c r="AQ125" i="4"/>
  <c r="G124" i="4"/>
  <c r="K124" i="4"/>
  <c r="O124" i="4"/>
  <c r="S124" i="4"/>
  <c r="W124" i="4"/>
  <c r="AA124" i="4"/>
  <c r="AE124" i="4"/>
  <c r="AI124" i="4"/>
  <c r="AM124" i="4"/>
  <c r="AQ124" i="4"/>
  <c r="AU124" i="4"/>
  <c r="AY124" i="4"/>
  <c r="BC124" i="4"/>
  <c r="G126" i="4"/>
  <c r="AA126" i="4"/>
  <c r="H124" i="4"/>
  <c r="L124" i="4"/>
  <c r="P124" i="4"/>
  <c r="T124" i="4"/>
  <c r="X124" i="4"/>
  <c r="AB124" i="4"/>
  <c r="AF124" i="4"/>
  <c r="AJ124" i="4"/>
  <c r="AN124" i="4"/>
  <c r="AR124" i="4"/>
  <c r="AV124" i="4"/>
  <c r="AZ124" i="4"/>
  <c r="BD124" i="4"/>
  <c r="BG126" i="4" l="1"/>
  <c r="O127" i="4" l="1"/>
  <c r="D127" i="4"/>
  <c r="N127" i="4"/>
  <c r="AG127" i="4"/>
  <c r="BB127" i="4"/>
  <c r="AX127" i="4"/>
  <c r="BA127" i="4"/>
  <c r="AA127" i="4"/>
  <c r="G127" i="4"/>
  <c r="S127" i="4"/>
  <c r="BF127" i="4"/>
  <c r="AZ127" i="4"/>
  <c r="BC127" i="4"/>
  <c r="AS127" i="4"/>
  <c r="P127" i="4"/>
  <c r="AR127" i="4"/>
  <c r="K127" i="4"/>
  <c r="F127" i="4"/>
  <c r="Z127" i="4"/>
  <c r="AD127" i="4"/>
  <c r="Y127" i="4"/>
  <c r="AY127" i="4"/>
  <c r="AC127" i="4"/>
  <c r="AB127" i="4"/>
  <c r="BD127" i="4"/>
  <c r="AL127" i="4"/>
  <c r="AP127" i="4"/>
  <c r="AT127" i="4"/>
  <c r="AW127" i="4"/>
  <c r="E127" i="4"/>
  <c r="BE127" i="4"/>
  <c r="AQ127" i="4"/>
  <c r="H127" i="4"/>
  <c r="AJ127" i="4"/>
  <c r="AI127" i="4"/>
  <c r="AV127" i="4"/>
  <c r="AU127" i="4"/>
  <c r="W127" i="4"/>
  <c r="L127" i="4"/>
  <c r="AO127" i="4"/>
  <c r="AN127" i="4"/>
  <c r="AM127" i="4"/>
  <c r="V127" i="4"/>
  <c r="J127" i="4"/>
  <c r="AH127" i="4"/>
  <c r="R127" i="4"/>
  <c r="U127" i="4"/>
  <c r="T127" i="4"/>
  <c r="I127" i="4"/>
  <c r="AF127" i="4"/>
  <c r="AE127" i="4"/>
  <c r="Q127" i="4"/>
  <c r="M127" i="4"/>
  <c r="AK127" i="4"/>
  <c r="X127" i="4"/>
  <c r="BG6" i="4" l="1"/>
  <c r="BG10" i="4"/>
  <c r="BG14" i="4"/>
  <c r="BG18" i="4"/>
  <c r="BG22" i="4"/>
  <c r="BG26" i="4"/>
  <c r="BG30" i="4"/>
  <c r="BG34" i="4"/>
  <c r="BG38" i="4"/>
  <c r="BG42" i="4"/>
  <c r="BG46" i="4"/>
  <c r="BG50" i="4"/>
  <c r="BG54" i="4"/>
  <c r="BG58" i="4"/>
  <c r="BG62" i="4"/>
  <c r="BG66" i="4"/>
  <c r="BG70" i="4"/>
  <c r="BG74" i="4"/>
  <c r="BG78" i="4"/>
  <c r="BG82" i="4"/>
  <c r="BG86" i="4"/>
  <c r="BG90" i="4"/>
  <c r="BG94" i="4"/>
  <c r="BG98" i="4"/>
  <c r="BG102" i="4"/>
  <c r="BG106" i="4"/>
  <c r="BG110" i="4"/>
  <c r="BG114" i="4"/>
  <c r="BG118" i="4"/>
  <c r="BG122" i="4"/>
  <c r="BG7" i="4"/>
  <c r="BG12" i="4"/>
  <c r="BG17" i="4"/>
  <c r="BG23" i="4"/>
  <c r="BG28" i="4"/>
  <c r="BG33" i="4"/>
  <c r="BG39" i="4"/>
  <c r="BG44" i="4"/>
  <c r="BG49" i="4"/>
  <c r="BG55" i="4"/>
  <c r="BG60" i="4"/>
  <c r="BG65" i="4"/>
  <c r="BG71" i="4"/>
  <c r="BG76" i="4"/>
  <c r="BG81" i="4"/>
  <c r="BG87" i="4"/>
  <c r="BG92" i="4"/>
  <c r="BG97" i="4"/>
  <c r="BG103" i="4"/>
  <c r="BG108" i="4"/>
  <c r="BG113" i="4"/>
  <c r="BG119" i="4"/>
  <c r="BG3" i="4"/>
  <c r="BG8" i="4"/>
  <c r="BG13" i="4"/>
  <c r="BG19" i="4"/>
  <c r="BG24" i="4"/>
  <c r="BG29" i="4"/>
  <c r="BG35" i="4"/>
  <c r="BG40" i="4"/>
  <c r="BG45" i="4"/>
  <c r="BG51" i="4"/>
  <c r="BG56" i="4"/>
  <c r="BG61" i="4"/>
  <c r="BG67" i="4"/>
  <c r="BG72" i="4"/>
  <c r="BG77" i="4"/>
  <c r="BG83" i="4"/>
  <c r="BG88" i="4"/>
  <c r="BG93" i="4"/>
  <c r="BG99" i="4"/>
  <c r="BG104" i="4"/>
  <c r="BG109" i="4"/>
  <c r="BG115" i="4"/>
  <c r="BG120" i="4"/>
  <c r="BG4" i="4"/>
  <c r="BG9" i="4"/>
  <c r="BG15" i="4"/>
  <c r="BG20" i="4"/>
  <c r="BG16" i="4"/>
  <c r="BG31" i="4"/>
  <c r="BG41" i="4"/>
  <c r="BG52" i="4"/>
  <c r="BG63" i="4"/>
  <c r="BG73" i="4"/>
  <c r="BG84" i="4"/>
  <c r="BG95" i="4"/>
  <c r="BG105" i="4"/>
  <c r="BG116" i="4"/>
  <c r="BG21" i="4"/>
  <c r="BG32" i="4"/>
  <c r="BG43" i="4"/>
  <c r="BG53" i="4"/>
  <c r="BG64" i="4"/>
  <c r="BG75" i="4"/>
  <c r="BG85" i="4"/>
  <c r="BG96" i="4"/>
  <c r="BG107" i="4"/>
  <c r="BG117" i="4"/>
  <c r="BG5" i="4"/>
  <c r="BG25" i="4"/>
  <c r="BG36" i="4"/>
  <c r="BG47" i="4"/>
  <c r="BG57" i="4"/>
  <c r="BG68" i="4"/>
  <c r="BG79" i="4"/>
  <c r="BG89" i="4"/>
  <c r="BG100" i="4"/>
  <c r="BG111" i="4"/>
  <c r="BG121" i="4"/>
  <c r="BG11" i="4"/>
  <c r="BG27" i="4"/>
  <c r="BG37" i="4"/>
  <c r="BG48" i="4"/>
  <c r="BG59" i="4"/>
  <c r="BG69" i="4"/>
  <c r="BG80" i="4"/>
  <c r="BG91" i="4"/>
  <c r="BG101" i="4"/>
  <c r="BG112" i="4"/>
  <c r="BG2" i="4"/>
  <c r="BG127" i="4"/>
  <c r="C2" i="4"/>
  <c r="BH2" i="4" l="1"/>
  <c r="BI2" i="4" s="1"/>
  <c r="BH6" i="4"/>
  <c r="BI6" i="4" s="1"/>
  <c r="BH10" i="4"/>
  <c r="BI10" i="4" s="1"/>
  <c r="BH14" i="4"/>
  <c r="BI14" i="4" s="1"/>
  <c r="BH18" i="4"/>
  <c r="BI18" i="4" s="1"/>
  <c r="BH22" i="4"/>
  <c r="BI22" i="4" s="1"/>
  <c r="BH26" i="4"/>
  <c r="BI26" i="4" s="1"/>
  <c r="BH30" i="4"/>
  <c r="BI30" i="4" s="1"/>
  <c r="BH34" i="4"/>
  <c r="BI34" i="4" s="1"/>
  <c r="BH38" i="4"/>
  <c r="BI38" i="4" s="1"/>
  <c r="BH42" i="4"/>
  <c r="BI42" i="4" s="1"/>
  <c r="BH46" i="4"/>
  <c r="BI46" i="4" s="1"/>
  <c r="BH50" i="4"/>
  <c r="BI50" i="4" s="1"/>
  <c r="BH54" i="4"/>
  <c r="BI54" i="4" s="1"/>
  <c r="BH58" i="4"/>
  <c r="BI58" i="4" s="1"/>
  <c r="BH62" i="4"/>
  <c r="BI62" i="4" s="1"/>
  <c r="BH66" i="4"/>
  <c r="BI66" i="4" s="1"/>
  <c r="BH70" i="4"/>
  <c r="BI70" i="4" s="1"/>
  <c r="BH74" i="4"/>
  <c r="BI74" i="4" s="1"/>
  <c r="BH78" i="4"/>
  <c r="BI78" i="4" s="1"/>
  <c r="BH82" i="4"/>
  <c r="BI82" i="4" s="1"/>
  <c r="BH86" i="4"/>
  <c r="BI86" i="4" s="1"/>
  <c r="BH90" i="4"/>
  <c r="BI90" i="4" s="1"/>
  <c r="BH94" i="4"/>
  <c r="BI94" i="4" s="1"/>
  <c r="BH98" i="4"/>
  <c r="BI98" i="4" s="1"/>
  <c r="BH102" i="4"/>
  <c r="BI102" i="4" s="1"/>
  <c r="BH106" i="4"/>
  <c r="BI106" i="4" s="1"/>
  <c r="BH110" i="4"/>
  <c r="BI110" i="4" s="1"/>
  <c r="BH114" i="4"/>
  <c r="BI114" i="4" s="1"/>
  <c r="BH118" i="4"/>
  <c r="BI118" i="4" s="1"/>
  <c r="BH122" i="4"/>
  <c r="BI122" i="4" s="1"/>
  <c r="BH4" i="4"/>
  <c r="BI4" i="4" s="1"/>
  <c r="BH9" i="4"/>
  <c r="BI9" i="4" s="1"/>
  <c r="BH15" i="4"/>
  <c r="BI15" i="4" s="1"/>
  <c r="BH20" i="4"/>
  <c r="BI20" i="4" s="1"/>
  <c r="BH25" i="4"/>
  <c r="BI25" i="4" s="1"/>
  <c r="BH31" i="4"/>
  <c r="BI31" i="4" s="1"/>
  <c r="BH36" i="4"/>
  <c r="BH41" i="4"/>
  <c r="BI41" i="4" s="1"/>
  <c r="BH47" i="4"/>
  <c r="BI47" i="4" s="1"/>
  <c r="BH52" i="4"/>
  <c r="BI52" i="4" s="1"/>
  <c r="BH57" i="4"/>
  <c r="BI57" i="4" s="1"/>
  <c r="BH63" i="4"/>
  <c r="BI63" i="4" s="1"/>
  <c r="BH68" i="4"/>
  <c r="BI68" i="4" s="1"/>
  <c r="BH73" i="4"/>
  <c r="BI73" i="4" s="1"/>
  <c r="BH79" i="4"/>
  <c r="BI79" i="4" s="1"/>
  <c r="BH84" i="4"/>
  <c r="BI84" i="4" s="1"/>
  <c r="BH89" i="4"/>
  <c r="BI89" i="4" s="1"/>
  <c r="BH95" i="4"/>
  <c r="BI95" i="4" s="1"/>
  <c r="BH100" i="4"/>
  <c r="BI100" i="4" s="1"/>
  <c r="BH105" i="4"/>
  <c r="BI105" i="4" s="1"/>
  <c r="BH111" i="4"/>
  <c r="BI111" i="4" s="1"/>
  <c r="BH116" i="4"/>
  <c r="BI116" i="4" s="1"/>
  <c r="BH121" i="4"/>
  <c r="BI121" i="4" s="1"/>
  <c r="BH5" i="4"/>
  <c r="BI5" i="4" s="1"/>
  <c r="BH11" i="4"/>
  <c r="BI11" i="4" s="1"/>
  <c r="BH16" i="4"/>
  <c r="BI16" i="4" s="1"/>
  <c r="BH21" i="4"/>
  <c r="BI21" i="4" s="1"/>
  <c r="BH27" i="4"/>
  <c r="BI27" i="4" s="1"/>
  <c r="BH32" i="4"/>
  <c r="BI32" i="4" s="1"/>
  <c r="BH37" i="4"/>
  <c r="BI37" i="4" s="1"/>
  <c r="BH43" i="4"/>
  <c r="BI43" i="4" s="1"/>
  <c r="BH48" i="4"/>
  <c r="BI48" i="4" s="1"/>
  <c r="BH53" i="4"/>
  <c r="BI53" i="4" s="1"/>
  <c r="BH59" i="4"/>
  <c r="BI59" i="4" s="1"/>
  <c r="BH64" i="4"/>
  <c r="BI64" i="4" s="1"/>
  <c r="BH69" i="4"/>
  <c r="BI69" i="4" s="1"/>
  <c r="BH75" i="4"/>
  <c r="BI75" i="4" s="1"/>
  <c r="BH80" i="4"/>
  <c r="BI80" i="4" s="1"/>
  <c r="BH85" i="4"/>
  <c r="BI85" i="4" s="1"/>
  <c r="BH91" i="4"/>
  <c r="BI91" i="4" s="1"/>
  <c r="BH96" i="4"/>
  <c r="BI96" i="4" s="1"/>
  <c r="BH101" i="4"/>
  <c r="BI101" i="4" s="1"/>
  <c r="BH107" i="4"/>
  <c r="BI107" i="4" s="1"/>
  <c r="BH112" i="4"/>
  <c r="BI112" i="4" s="1"/>
  <c r="BH117" i="4"/>
  <c r="BI117" i="4" s="1"/>
  <c r="BH7" i="4"/>
  <c r="BI7" i="4" s="1"/>
  <c r="BH12" i="4"/>
  <c r="BI12" i="4" s="1"/>
  <c r="BH17" i="4"/>
  <c r="BI17" i="4" s="1"/>
  <c r="BH23" i="4"/>
  <c r="BI23" i="4" s="1"/>
  <c r="BH28" i="4"/>
  <c r="BI28" i="4" s="1"/>
  <c r="BH33" i="4"/>
  <c r="BI33" i="4" s="1"/>
  <c r="BH39" i="4"/>
  <c r="BI39" i="4" s="1"/>
  <c r="BH44" i="4"/>
  <c r="BI44" i="4" s="1"/>
  <c r="BH49" i="4"/>
  <c r="BI49" i="4" s="1"/>
  <c r="BH55" i="4"/>
  <c r="BI55" i="4" s="1"/>
  <c r="BH60" i="4"/>
  <c r="BI60" i="4" s="1"/>
  <c r="BH65" i="4"/>
  <c r="BI65" i="4" s="1"/>
  <c r="BH71" i="4"/>
  <c r="BI71" i="4" s="1"/>
  <c r="BH76" i="4"/>
  <c r="BI76" i="4" s="1"/>
  <c r="BH81" i="4"/>
  <c r="BI81" i="4" s="1"/>
  <c r="BH87" i="4"/>
  <c r="BI87" i="4" s="1"/>
  <c r="BH92" i="4"/>
  <c r="BI92" i="4" s="1"/>
  <c r="BH97" i="4"/>
  <c r="BI97" i="4" s="1"/>
  <c r="BH103" i="4"/>
  <c r="BI103" i="4" s="1"/>
  <c r="BH108" i="4"/>
  <c r="BI108" i="4" s="1"/>
  <c r="BH113" i="4"/>
  <c r="BI113" i="4" s="1"/>
  <c r="BH119" i="4"/>
  <c r="BI119" i="4" s="1"/>
  <c r="BH8" i="4"/>
  <c r="BI8" i="4" s="1"/>
  <c r="BH29" i="4"/>
  <c r="BI29" i="4" s="1"/>
  <c r="BH51" i="4"/>
  <c r="BI51" i="4" s="1"/>
  <c r="BH72" i="4"/>
  <c r="BI72" i="4" s="1"/>
  <c r="BH93" i="4"/>
  <c r="BI93" i="4" s="1"/>
  <c r="BH115" i="4"/>
  <c r="BI115" i="4" s="1"/>
  <c r="BH13" i="4"/>
  <c r="BI13" i="4" s="1"/>
  <c r="BH35" i="4"/>
  <c r="BI35" i="4" s="1"/>
  <c r="BH56" i="4"/>
  <c r="BI56" i="4" s="1"/>
  <c r="BH77" i="4"/>
  <c r="BI77" i="4" s="1"/>
  <c r="BH99" i="4"/>
  <c r="BI99" i="4" s="1"/>
  <c r="BH120" i="4"/>
  <c r="BI120" i="4" s="1"/>
  <c r="BH19" i="4"/>
  <c r="BI19" i="4" s="1"/>
  <c r="BH40" i="4"/>
  <c r="BI40" i="4" s="1"/>
  <c r="BH61" i="4"/>
  <c r="BI61" i="4" s="1"/>
  <c r="BH83" i="4"/>
  <c r="BI83" i="4" s="1"/>
  <c r="BH104" i="4"/>
  <c r="BI104" i="4" s="1"/>
  <c r="BH3" i="4"/>
  <c r="BI3" i="4" s="1"/>
  <c r="BH24" i="4"/>
  <c r="BI24" i="4" s="1"/>
  <c r="BH45" i="4"/>
  <c r="BI45" i="4" s="1"/>
  <c r="BH67" i="4"/>
  <c r="BI67" i="4" s="1"/>
  <c r="BH88" i="4"/>
  <c r="BI88" i="4" s="1"/>
  <c r="BH109" i="4"/>
  <c r="BI109" i="4" s="1"/>
  <c r="BI36" i="4"/>
  <c r="C2" i="6"/>
  <c r="C3" i="6"/>
  <c r="C4" i="6"/>
  <c r="C5" i="6"/>
  <c r="C6" i="6"/>
  <c r="C7" i="6"/>
  <c r="C8" i="6"/>
  <c r="C9" i="6"/>
  <c r="C10" i="6"/>
  <c r="C11" i="6"/>
  <c r="C12" i="6"/>
  <c r="C13" i="6"/>
  <c r="E473" i="6"/>
  <c r="E475" i="6" s="1"/>
  <c r="F473" i="6"/>
  <c r="F475" i="6" s="1"/>
  <c r="G473" i="6"/>
  <c r="G474" i="6" s="1"/>
  <c r="H473" i="6"/>
  <c r="H475" i="6" s="1"/>
  <c r="I473" i="6"/>
  <c r="I475" i="6" s="1"/>
  <c r="J473" i="6"/>
  <c r="J474" i="6" s="1"/>
  <c r="K473" i="6"/>
  <c r="K476" i="6" s="1"/>
  <c r="L473" i="6"/>
  <c r="L475" i="6" s="1"/>
  <c r="M473" i="6"/>
  <c r="M475" i="6" s="1"/>
  <c r="N473" i="6"/>
  <c r="N475" i="6" s="1"/>
  <c r="O473" i="6"/>
  <c r="O474" i="6" s="1"/>
  <c r="P473" i="6"/>
  <c r="P475" i="6" s="1"/>
  <c r="Q473" i="6"/>
  <c r="Q475" i="6" s="1"/>
  <c r="R473" i="6"/>
  <c r="R474" i="6" s="1"/>
  <c r="S473" i="6"/>
  <c r="S476" i="6" s="1"/>
  <c r="T473" i="6"/>
  <c r="T475" i="6" s="1"/>
  <c r="U473" i="6"/>
  <c r="U475" i="6" s="1"/>
  <c r="V473" i="6"/>
  <c r="V475" i="6" s="1"/>
  <c r="W473" i="6"/>
  <c r="W474" i="6" s="1"/>
  <c r="X473" i="6"/>
  <c r="X475" i="6" s="1"/>
  <c r="Y473" i="6"/>
  <c r="Y475" i="6" s="1"/>
  <c r="Z473" i="6"/>
  <c r="Z475" i="6" s="1"/>
  <c r="AA473" i="6"/>
  <c r="AA476" i="6" s="1"/>
  <c r="AB473" i="6"/>
  <c r="AB475" i="6" s="1"/>
  <c r="AC473" i="6"/>
  <c r="AC475" i="6" s="1"/>
  <c r="AD473" i="6"/>
  <c r="AD475" i="6" s="1"/>
  <c r="AE473" i="6"/>
  <c r="AE474" i="6" s="1"/>
  <c r="AF473" i="6"/>
  <c r="AF475" i="6" s="1"/>
  <c r="AG473" i="6"/>
  <c r="AG475" i="6" s="1"/>
  <c r="AH473" i="6"/>
  <c r="AH475" i="6" s="1"/>
  <c r="AI473" i="6"/>
  <c r="AI476" i="6" s="1"/>
  <c r="AJ473" i="6"/>
  <c r="AJ475" i="6" s="1"/>
  <c r="AK473" i="6"/>
  <c r="AK475" i="6" s="1"/>
  <c r="AL473" i="6"/>
  <c r="AL475" i="6" s="1"/>
  <c r="AM473" i="6"/>
  <c r="AM474" i="6" s="1"/>
  <c r="AN473" i="6"/>
  <c r="AN475" i="6" s="1"/>
  <c r="AO473" i="6"/>
  <c r="AO475" i="6" s="1"/>
  <c r="AP473" i="6"/>
  <c r="AP474" i="6" s="1"/>
  <c r="AQ473" i="6"/>
  <c r="AQ476" i="6" s="1"/>
  <c r="AR473" i="6"/>
  <c r="AR475" i="6" s="1"/>
  <c r="AS473" i="6"/>
  <c r="AS475" i="6" s="1"/>
  <c r="AT473" i="6"/>
  <c r="AT475" i="6" s="1"/>
  <c r="AU473" i="6"/>
  <c r="AU474" i="6" s="1"/>
  <c r="AV473" i="6"/>
  <c r="AV475" i="6" s="1"/>
  <c r="AW473" i="6"/>
  <c r="AW475" i="6" s="1"/>
  <c r="AX473" i="6"/>
  <c r="AX475" i="6" s="1"/>
  <c r="AY473" i="6"/>
  <c r="AY476" i="6" s="1"/>
  <c r="AZ473" i="6"/>
  <c r="AZ475" i="6" s="1"/>
  <c r="BA473" i="6"/>
  <c r="BA475" i="6" s="1"/>
  <c r="BB473" i="6"/>
  <c r="BB475" i="6" s="1"/>
  <c r="BC473" i="6"/>
  <c r="BC474" i="6" s="1"/>
  <c r="BD473" i="6"/>
  <c r="BD475" i="6" s="1"/>
  <c r="BE473" i="6"/>
  <c r="BE474" i="6" s="1"/>
  <c r="BF473" i="6"/>
  <c r="BF475" i="6" s="1"/>
  <c r="D473" i="6"/>
  <c r="D474" i="6" s="1"/>
  <c r="BK3" i="4" l="1"/>
  <c r="BK7" i="4"/>
  <c r="BK11" i="4"/>
  <c r="BK15" i="4"/>
  <c r="BK19" i="4"/>
  <c r="BK23" i="4"/>
  <c r="BK27" i="4"/>
  <c r="BK31" i="4"/>
  <c r="BK35" i="4"/>
  <c r="BK39" i="4"/>
  <c r="BK4" i="4"/>
  <c r="BK8" i="4"/>
  <c r="BK12" i="4"/>
  <c r="BK16" i="4"/>
  <c r="BK20" i="4"/>
  <c r="BK24" i="4"/>
  <c r="BK28" i="4"/>
  <c r="BK32" i="4"/>
  <c r="BK36" i="4"/>
  <c r="BK40" i="4"/>
  <c r="BK5" i="4"/>
  <c r="BK13" i="4"/>
  <c r="BK21" i="4"/>
  <c r="BK29" i="4"/>
  <c r="BK37" i="4"/>
  <c r="BK43" i="4"/>
  <c r="BK47" i="4"/>
  <c r="BK51" i="4"/>
  <c r="BK55" i="4"/>
  <c r="BK59" i="4"/>
  <c r="BK63" i="4"/>
  <c r="BK67" i="4"/>
  <c r="BK71" i="4"/>
  <c r="BK75" i="4"/>
  <c r="BK79" i="4"/>
  <c r="BK83" i="4"/>
  <c r="BK87" i="4"/>
  <c r="BK91" i="4"/>
  <c r="BK95" i="4"/>
  <c r="BK99" i="4"/>
  <c r="BK103" i="4"/>
  <c r="BK107" i="4"/>
  <c r="BK111" i="4"/>
  <c r="BK115" i="4"/>
  <c r="BK119" i="4"/>
  <c r="BJ3" i="4"/>
  <c r="BJ7" i="4"/>
  <c r="BJ11" i="4"/>
  <c r="BJ15" i="4"/>
  <c r="BJ19" i="4"/>
  <c r="BJ23" i="4"/>
  <c r="BJ27" i="4"/>
  <c r="BJ31" i="4"/>
  <c r="BJ35" i="4"/>
  <c r="BJ39" i="4"/>
  <c r="BJ43" i="4"/>
  <c r="BJ47" i="4"/>
  <c r="BJ51" i="4"/>
  <c r="BJ55" i="4"/>
  <c r="BJ59" i="4"/>
  <c r="BJ63" i="4"/>
  <c r="BJ67" i="4"/>
  <c r="BJ71" i="4"/>
  <c r="BJ75" i="4"/>
  <c r="BJ79" i="4"/>
  <c r="BJ83" i="4"/>
  <c r="BJ87" i="4"/>
  <c r="BK10" i="4"/>
  <c r="BK22" i="4"/>
  <c r="BK33" i="4"/>
  <c r="BK42" i="4"/>
  <c r="BK48" i="4"/>
  <c r="BK53" i="4"/>
  <c r="BK58" i="4"/>
  <c r="BK64" i="4"/>
  <c r="BK69" i="4"/>
  <c r="BK74" i="4"/>
  <c r="BK80" i="4"/>
  <c r="BK85" i="4"/>
  <c r="BK90" i="4"/>
  <c r="BK96" i="4"/>
  <c r="BK101" i="4"/>
  <c r="BK106" i="4"/>
  <c r="BK112" i="4"/>
  <c r="BK117" i="4"/>
  <c r="BK122" i="4"/>
  <c r="BJ8" i="4"/>
  <c r="BJ13" i="4"/>
  <c r="BJ18" i="4"/>
  <c r="BJ24" i="4"/>
  <c r="BJ29" i="4"/>
  <c r="BJ34" i="4"/>
  <c r="BJ40" i="4"/>
  <c r="BJ45" i="4"/>
  <c r="BJ50" i="4"/>
  <c r="BJ56" i="4"/>
  <c r="BJ61" i="4"/>
  <c r="BJ66" i="4"/>
  <c r="BJ72" i="4"/>
  <c r="BJ77" i="4"/>
  <c r="BJ82" i="4"/>
  <c r="BJ88" i="4"/>
  <c r="BJ92" i="4"/>
  <c r="BJ96" i="4"/>
  <c r="BJ100" i="4"/>
  <c r="BJ104" i="4"/>
  <c r="BJ108" i="4"/>
  <c r="BJ112" i="4"/>
  <c r="BL112" i="4" s="1"/>
  <c r="BM112" i="4" s="1"/>
  <c r="BN112" i="4" s="1"/>
  <c r="BJ116" i="4"/>
  <c r="BJ120" i="4"/>
  <c r="BK14" i="4"/>
  <c r="BK26" i="4"/>
  <c r="BK41" i="4"/>
  <c r="BK49" i="4"/>
  <c r="BK56" i="4"/>
  <c r="BK62" i="4"/>
  <c r="BK70" i="4"/>
  <c r="BK77" i="4"/>
  <c r="BK84" i="4"/>
  <c r="BK92" i="4"/>
  <c r="BK98" i="4"/>
  <c r="BK105" i="4"/>
  <c r="BK113" i="4"/>
  <c r="BK120" i="4"/>
  <c r="BJ6" i="4"/>
  <c r="BJ14" i="4"/>
  <c r="BJ21" i="4"/>
  <c r="BJ28" i="4"/>
  <c r="BJ36" i="4"/>
  <c r="BJ42" i="4"/>
  <c r="BJ49" i="4"/>
  <c r="BJ57" i="4"/>
  <c r="BJ64" i="4"/>
  <c r="BJ70" i="4"/>
  <c r="BJ78" i="4"/>
  <c r="BJ85" i="4"/>
  <c r="BJ91" i="4"/>
  <c r="BJ97" i="4"/>
  <c r="BJ102" i="4"/>
  <c r="BJ107" i="4"/>
  <c r="BJ113" i="4"/>
  <c r="BJ118" i="4"/>
  <c r="BK17" i="4"/>
  <c r="BK30" i="4"/>
  <c r="BK44" i="4"/>
  <c r="BK50" i="4"/>
  <c r="BK57" i="4"/>
  <c r="BK65" i="4"/>
  <c r="BK72" i="4"/>
  <c r="BK78" i="4"/>
  <c r="BK86" i="4"/>
  <c r="BK93" i="4"/>
  <c r="BK100" i="4"/>
  <c r="BL100" i="4" s="1"/>
  <c r="BM100" i="4" s="1"/>
  <c r="BN100" i="4" s="1"/>
  <c r="BK108" i="4"/>
  <c r="BK114" i="4"/>
  <c r="BK121" i="4"/>
  <c r="BJ9" i="4"/>
  <c r="BJ16" i="4"/>
  <c r="BJ22" i="4"/>
  <c r="BJ30" i="4"/>
  <c r="BJ37" i="4"/>
  <c r="BL37" i="4" s="1"/>
  <c r="BM37" i="4" s="1"/>
  <c r="BN37" i="4" s="1"/>
  <c r="BJ44" i="4"/>
  <c r="BJ52" i="4"/>
  <c r="BJ58" i="4"/>
  <c r="BJ65" i="4"/>
  <c r="BJ73" i="4"/>
  <c r="BJ80" i="4"/>
  <c r="BJ86" i="4"/>
  <c r="BJ93" i="4"/>
  <c r="BJ98" i="4"/>
  <c r="BJ103" i="4"/>
  <c r="BJ109" i="4"/>
  <c r="BJ114" i="4"/>
  <c r="BJ119" i="4"/>
  <c r="BK6" i="4"/>
  <c r="BK18" i="4"/>
  <c r="BK34" i="4"/>
  <c r="BK45" i="4"/>
  <c r="BK52" i="4"/>
  <c r="BK60" i="4"/>
  <c r="BK66" i="4"/>
  <c r="BK73" i="4"/>
  <c r="BK81" i="4"/>
  <c r="BK88" i="4"/>
  <c r="BK94" i="4"/>
  <c r="BK102" i="4"/>
  <c r="BK109" i="4"/>
  <c r="BK116" i="4"/>
  <c r="BJ4" i="4"/>
  <c r="BJ10" i="4"/>
  <c r="BJ17" i="4"/>
  <c r="BL17" i="4" s="1"/>
  <c r="BM17" i="4" s="1"/>
  <c r="BN17" i="4" s="1"/>
  <c r="BJ25" i="4"/>
  <c r="BJ32" i="4"/>
  <c r="BJ38" i="4"/>
  <c r="BJ46" i="4"/>
  <c r="BJ53" i="4"/>
  <c r="BJ60" i="4"/>
  <c r="BJ68" i="4"/>
  <c r="BJ74" i="4"/>
  <c r="BJ81" i="4"/>
  <c r="BJ89" i="4"/>
  <c r="BJ94" i="4"/>
  <c r="BJ99" i="4"/>
  <c r="BJ105" i="4"/>
  <c r="BJ110" i="4"/>
  <c r="BJ115" i="4"/>
  <c r="BJ121" i="4"/>
  <c r="BK9" i="4"/>
  <c r="BK54" i="4"/>
  <c r="BK82" i="4"/>
  <c r="BK110" i="4"/>
  <c r="BJ20" i="4"/>
  <c r="BJ48" i="4"/>
  <c r="BJ76" i="4"/>
  <c r="BJ101" i="4"/>
  <c r="BJ122" i="4"/>
  <c r="BK25" i="4"/>
  <c r="BK61" i="4"/>
  <c r="BK89" i="4"/>
  <c r="BK118" i="4"/>
  <c r="BJ26" i="4"/>
  <c r="BJ54" i="4"/>
  <c r="BJ84" i="4"/>
  <c r="BJ106" i="4"/>
  <c r="BK38" i="4"/>
  <c r="BK68" i="4"/>
  <c r="BK97" i="4"/>
  <c r="BJ5" i="4"/>
  <c r="BJ33" i="4"/>
  <c r="BJ62" i="4"/>
  <c r="BJ90" i="4"/>
  <c r="BJ111" i="4"/>
  <c r="BK46" i="4"/>
  <c r="BK76" i="4"/>
  <c r="BK104" i="4"/>
  <c r="BJ12" i="4"/>
  <c r="BJ41" i="4"/>
  <c r="BL41" i="4" s="1"/>
  <c r="BM41" i="4" s="1"/>
  <c r="BN41" i="4" s="1"/>
  <c r="BJ69" i="4"/>
  <c r="BJ95" i="4"/>
  <c r="BJ117" i="4"/>
  <c r="BJ2" i="4"/>
  <c r="BK2" i="4"/>
  <c r="Q474" i="6"/>
  <c r="Z474" i="6"/>
  <c r="AJ476" i="6"/>
  <c r="Z476" i="6"/>
  <c r="BF476" i="6"/>
  <c r="AT474" i="6"/>
  <c r="AL474" i="6"/>
  <c r="N474" i="6"/>
  <c r="J476" i="6"/>
  <c r="AP476" i="6"/>
  <c r="AH474" i="6"/>
  <c r="F474" i="6"/>
  <c r="T476" i="6"/>
  <c r="AZ476" i="6"/>
  <c r="AW474" i="6"/>
  <c r="AG474" i="6"/>
  <c r="L476" i="6"/>
  <c r="AB476" i="6"/>
  <c r="AR476" i="6"/>
  <c r="Y474" i="6"/>
  <c r="R476" i="6"/>
  <c r="AH476" i="6"/>
  <c r="AX476" i="6"/>
  <c r="G475" i="6"/>
  <c r="O475" i="6"/>
  <c r="W475" i="6"/>
  <c r="AE475" i="6"/>
  <c r="AM475" i="6"/>
  <c r="AU475" i="6"/>
  <c r="BC475" i="6"/>
  <c r="J475" i="6"/>
  <c r="R475" i="6"/>
  <c r="AP475" i="6"/>
  <c r="V474" i="6"/>
  <c r="K475" i="6"/>
  <c r="S475" i="6"/>
  <c r="AA475" i="6"/>
  <c r="AI475" i="6"/>
  <c r="AQ475" i="6"/>
  <c r="AY475" i="6"/>
  <c r="F476" i="6"/>
  <c r="N476" i="6"/>
  <c r="V476" i="6"/>
  <c r="AD476" i="6"/>
  <c r="AL476" i="6"/>
  <c r="AT476" i="6"/>
  <c r="BB476" i="6"/>
  <c r="BB474" i="6"/>
  <c r="AO474" i="6"/>
  <c r="AD474" i="6"/>
  <c r="I474" i="6"/>
  <c r="H476" i="6"/>
  <c r="P476" i="6"/>
  <c r="X476" i="6"/>
  <c r="AF476" i="6"/>
  <c r="AN476" i="6"/>
  <c r="AV476" i="6"/>
  <c r="BD476" i="6"/>
  <c r="D475" i="6"/>
  <c r="E476" i="6"/>
  <c r="I476" i="6"/>
  <c r="M476" i="6"/>
  <c r="Q476" i="6"/>
  <c r="U476" i="6"/>
  <c r="Y476" i="6"/>
  <c r="AC476" i="6"/>
  <c r="AG476" i="6"/>
  <c r="AK476" i="6"/>
  <c r="AO476" i="6"/>
  <c r="AS476" i="6"/>
  <c r="AW476" i="6"/>
  <c r="BA476" i="6"/>
  <c r="BE476" i="6"/>
  <c r="AS474" i="6"/>
  <c r="AK474" i="6"/>
  <c r="AC474" i="6"/>
  <c r="U474" i="6"/>
  <c r="M474" i="6"/>
  <c r="E474" i="6"/>
  <c r="D476" i="6"/>
  <c r="BA474" i="6"/>
  <c r="BE475" i="6"/>
  <c r="G476" i="6"/>
  <c r="O476" i="6"/>
  <c r="W476" i="6"/>
  <c r="AE476" i="6"/>
  <c r="AM476" i="6"/>
  <c r="AU476" i="6"/>
  <c r="BC476" i="6"/>
  <c r="AX474" i="6"/>
  <c r="BF474" i="6"/>
  <c r="AY474" i="6"/>
  <c r="AQ474" i="6"/>
  <c r="AI474" i="6"/>
  <c r="AA474" i="6"/>
  <c r="S474" i="6"/>
  <c r="K474" i="6"/>
  <c r="BD474" i="6"/>
  <c r="AZ474" i="6"/>
  <c r="AV474" i="6"/>
  <c r="AR474" i="6"/>
  <c r="AN474" i="6"/>
  <c r="AJ474" i="6"/>
  <c r="AF474" i="6"/>
  <c r="AB474" i="6"/>
  <c r="X474" i="6"/>
  <c r="T474" i="6"/>
  <c r="P474" i="6"/>
  <c r="L474" i="6"/>
  <c r="H474" i="6"/>
  <c r="BL21" i="4" l="1"/>
  <c r="BM21" i="4" s="1"/>
  <c r="BN21" i="4" s="1"/>
  <c r="BL35" i="4"/>
  <c r="BM35" i="4" s="1"/>
  <c r="BN35" i="4" s="1"/>
  <c r="BL16" i="4"/>
  <c r="BM16" i="4" s="1"/>
  <c r="BN16" i="4" s="1"/>
  <c r="BL12" i="4"/>
  <c r="BM12" i="4" s="1"/>
  <c r="BN12" i="4" s="1"/>
  <c r="BL53" i="4"/>
  <c r="BM53" i="4" s="1"/>
  <c r="BN53" i="4" s="1"/>
  <c r="BL28" i="4"/>
  <c r="BM28" i="4" s="1"/>
  <c r="BN28" i="4" s="1"/>
  <c r="BL89" i="4"/>
  <c r="BM89" i="4" s="1"/>
  <c r="BN89" i="4" s="1"/>
  <c r="BL23" i="4"/>
  <c r="BM23" i="4" s="1"/>
  <c r="BN23" i="4" s="1"/>
  <c r="BL7" i="4"/>
  <c r="BM7" i="4" s="1"/>
  <c r="BN7" i="4" s="1"/>
  <c r="BL30" i="4"/>
  <c r="BM30" i="4" s="1"/>
  <c r="BN30" i="4" s="1"/>
  <c r="BL81" i="4"/>
  <c r="BM81" i="4" s="1"/>
  <c r="BN81" i="4" s="1"/>
  <c r="BL118" i="4"/>
  <c r="BM118" i="4" s="1"/>
  <c r="BN118" i="4" s="1"/>
  <c r="BL88" i="4"/>
  <c r="BM88" i="4" s="1"/>
  <c r="BN88" i="4" s="1"/>
  <c r="BL101" i="4"/>
  <c r="BM101" i="4" s="1"/>
  <c r="BN101" i="4" s="1"/>
  <c r="BL80" i="4"/>
  <c r="BM80" i="4" s="1"/>
  <c r="BN80" i="4" s="1"/>
  <c r="BL114" i="4"/>
  <c r="BM114" i="4" s="1"/>
  <c r="BN114" i="4" s="1"/>
  <c r="BL102" i="4"/>
  <c r="BM102" i="4" s="1"/>
  <c r="BN102" i="4" s="1"/>
  <c r="BL78" i="4"/>
  <c r="BM78" i="4" s="1"/>
  <c r="BN78" i="4" s="1"/>
  <c r="BL49" i="4"/>
  <c r="BM49" i="4" s="1"/>
  <c r="BN49" i="4" s="1"/>
  <c r="BL14" i="4"/>
  <c r="BM14" i="4" s="1"/>
  <c r="BN14" i="4" s="1"/>
  <c r="BL108" i="4"/>
  <c r="BM108" i="4" s="1"/>
  <c r="BN108" i="4" s="1"/>
  <c r="BL50" i="4"/>
  <c r="BM50" i="4" s="1"/>
  <c r="BN50" i="4" s="1"/>
  <c r="BL39" i="4"/>
  <c r="BM39" i="4" s="1"/>
  <c r="BN39" i="4" s="1"/>
  <c r="BL8" i="4"/>
  <c r="BM8" i="4" s="1"/>
  <c r="BN8" i="4" s="1"/>
  <c r="BL122" i="4"/>
  <c r="BM122" i="4" s="1"/>
  <c r="BN122" i="4" s="1"/>
  <c r="BL67" i="4"/>
  <c r="BM67" i="4" s="1"/>
  <c r="BN67" i="4" s="1"/>
  <c r="BL13" i="4"/>
  <c r="BM13" i="4" s="1"/>
  <c r="BN13" i="4" s="1"/>
  <c r="BL90" i="4"/>
  <c r="BM90" i="4" s="1"/>
  <c r="BN90" i="4" s="1"/>
  <c r="BL99" i="4"/>
  <c r="BM99" i="4" s="1"/>
  <c r="BN99" i="4" s="1"/>
  <c r="BL26" i="4"/>
  <c r="BM26" i="4" s="1"/>
  <c r="BN26" i="4" s="1"/>
  <c r="BL25" i="4"/>
  <c r="BM25" i="4" s="1"/>
  <c r="BN25" i="4" s="1"/>
  <c r="BL48" i="4"/>
  <c r="BM48" i="4" s="1"/>
  <c r="BN48" i="4" s="1"/>
  <c r="BL60" i="4"/>
  <c r="BM60" i="4" s="1"/>
  <c r="BN60" i="4" s="1"/>
  <c r="BL93" i="4"/>
  <c r="BM93" i="4" s="1"/>
  <c r="BN93" i="4" s="1"/>
  <c r="BL65" i="4"/>
  <c r="BM65" i="4" s="1"/>
  <c r="BN65" i="4" s="1"/>
  <c r="BL40" i="4"/>
  <c r="BM40" i="4" s="1"/>
  <c r="BN40" i="4" s="1"/>
  <c r="BL31" i="4"/>
  <c r="BM31" i="4" s="1"/>
  <c r="BN31" i="4" s="1"/>
  <c r="BL15" i="4"/>
  <c r="BM15" i="4" s="1"/>
  <c r="BN15" i="4" s="1"/>
  <c r="BL86" i="4"/>
  <c r="BM86" i="4" s="1"/>
  <c r="BN86" i="4" s="1"/>
  <c r="BL52" i="4"/>
  <c r="BM52" i="4" s="1"/>
  <c r="BN52" i="4" s="1"/>
  <c r="BL42" i="4"/>
  <c r="BM42" i="4" s="1"/>
  <c r="BN42" i="4" s="1"/>
  <c r="BL104" i="4"/>
  <c r="BM104" i="4" s="1"/>
  <c r="BN104" i="4" s="1"/>
  <c r="BL46" i="4"/>
  <c r="BM46" i="4" s="1"/>
  <c r="BN46" i="4" s="1"/>
  <c r="BL33" i="4"/>
  <c r="BM33" i="4" s="1"/>
  <c r="BN33" i="4" s="1"/>
  <c r="BL110" i="4"/>
  <c r="BM110" i="4" s="1"/>
  <c r="BN110" i="4" s="1"/>
  <c r="BL32" i="4"/>
  <c r="BM32" i="4" s="1"/>
  <c r="BN32" i="4" s="1"/>
  <c r="BL9" i="4"/>
  <c r="BM9" i="4" s="1"/>
  <c r="BN9" i="4" s="1"/>
  <c r="BL72" i="4"/>
  <c r="BM72" i="4" s="1"/>
  <c r="BN72" i="4" s="1"/>
  <c r="BL64" i="4"/>
  <c r="BM64" i="4" s="1"/>
  <c r="BN64" i="4" s="1"/>
  <c r="BL6" i="4"/>
  <c r="BM6" i="4" s="1"/>
  <c r="BN6" i="4" s="1"/>
  <c r="BL116" i="4"/>
  <c r="BM116" i="4" s="1"/>
  <c r="BN116" i="4" s="1"/>
  <c r="BL18" i="4"/>
  <c r="BM18" i="4" s="1"/>
  <c r="BN18" i="4" s="1"/>
  <c r="BL96" i="4"/>
  <c r="BM96" i="4" s="1"/>
  <c r="BN96" i="4" s="1"/>
  <c r="BL74" i="4"/>
  <c r="BM74" i="4" s="1"/>
  <c r="BN74" i="4" s="1"/>
  <c r="BL79" i="4"/>
  <c r="BM79" i="4" s="1"/>
  <c r="BN79" i="4" s="1"/>
  <c r="BL103" i="4"/>
  <c r="BM103" i="4" s="1"/>
  <c r="BN103" i="4" s="1"/>
  <c r="BL19" i="4"/>
  <c r="BM19" i="4" s="1"/>
  <c r="BN19" i="4" s="1"/>
  <c r="BL3" i="4"/>
  <c r="BM3" i="4" s="1"/>
  <c r="BN3" i="4" s="1"/>
  <c r="BL111" i="4"/>
  <c r="BM111" i="4" s="1"/>
  <c r="BN111" i="4" s="1"/>
  <c r="BL106" i="4"/>
  <c r="BM106" i="4" s="1"/>
  <c r="BN106" i="4" s="1"/>
  <c r="BL20" i="4"/>
  <c r="BM20" i="4" s="1"/>
  <c r="BN20" i="4" s="1"/>
  <c r="BL105" i="4"/>
  <c r="BM105" i="4" s="1"/>
  <c r="BN105" i="4" s="1"/>
  <c r="BL109" i="4"/>
  <c r="BM109" i="4" s="1"/>
  <c r="BN109" i="4" s="1"/>
  <c r="BL58" i="4"/>
  <c r="BM58" i="4" s="1"/>
  <c r="BN58" i="4" s="1"/>
  <c r="BL121" i="4"/>
  <c r="BM121" i="4" s="1"/>
  <c r="BN121" i="4" s="1"/>
  <c r="BL85" i="4"/>
  <c r="BM85" i="4" s="1"/>
  <c r="BN85" i="4" s="1"/>
  <c r="BL57" i="4"/>
  <c r="BM57" i="4" s="1"/>
  <c r="BN57" i="4" s="1"/>
  <c r="BL77" i="4"/>
  <c r="BM77" i="4" s="1"/>
  <c r="BN77" i="4" s="1"/>
  <c r="BL56" i="4"/>
  <c r="BM56" i="4" s="1"/>
  <c r="BN56" i="4" s="1"/>
  <c r="BL34" i="4"/>
  <c r="BM34" i="4" s="1"/>
  <c r="BN34" i="4" s="1"/>
  <c r="BL43" i="4"/>
  <c r="BM43" i="4" s="1"/>
  <c r="BN43" i="4" s="1"/>
  <c r="BL27" i="4"/>
  <c r="BM27" i="4" s="1"/>
  <c r="BN27" i="4" s="1"/>
  <c r="BL29" i="4"/>
  <c r="BM29" i="4" s="1"/>
  <c r="BN29" i="4" s="1"/>
  <c r="BL24" i="4"/>
  <c r="BM24" i="4" s="1"/>
  <c r="BN24" i="4" s="1"/>
  <c r="BL117" i="4"/>
  <c r="BM117" i="4" s="1"/>
  <c r="BN117" i="4" s="1"/>
  <c r="BL22" i="4"/>
  <c r="BM22" i="4" s="1"/>
  <c r="BN22" i="4" s="1"/>
  <c r="BL113" i="4"/>
  <c r="BM113" i="4" s="1"/>
  <c r="BN113" i="4" s="1"/>
  <c r="BL84" i="4"/>
  <c r="BM84" i="4" s="1"/>
  <c r="BN84" i="4" s="1"/>
  <c r="BL92" i="4"/>
  <c r="BM92" i="4" s="1"/>
  <c r="BN92" i="4" s="1"/>
  <c r="BL87" i="4"/>
  <c r="BM87" i="4" s="1"/>
  <c r="BN87" i="4" s="1"/>
  <c r="BL55" i="4"/>
  <c r="BM55" i="4" s="1"/>
  <c r="BN55" i="4" s="1"/>
  <c r="BL95" i="4"/>
  <c r="BM95" i="4" s="1"/>
  <c r="BN95" i="4" s="1"/>
  <c r="BL63" i="4"/>
  <c r="BM63" i="4" s="1"/>
  <c r="BN63" i="4" s="1"/>
  <c r="BL4" i="4"/>
  <c r="BM4" i="4" s="1"/>
  <c r="BN4" i="4" s="1"/>
  <c r="BL5" i="4"/>
  <c r="BM5" i="4" s="1"/>
  <c r="BN5" i="4" s="1"/>
  <c r="BL71" i="4"/>
  <c r="BM71" i="4" s="1"/>
  <c r="BN71" i="4" s="1"/>
  <c r="BL47" i="4"/>
  <c r="BM47" i="4" s="1"/>
  <c r="BN47" i="4" s="1"/>
  <c r="BL36" i="4"/>
  <c r="BM36" i="4" s="1"/>
  <c r="BN36" i="4" s="1"/>
  <c r="BL11" i="4"/>
  <c r="BM11" i="4" s="1"/>
  <c r="BN11" i="4" s="1"/>
  <c r="BL2" i="4"/>
  <c r="BM2" i="4" s="1"/>
  <c r="BL69" i="4"/>
  <c r="BM69" i="4" s="1"/>
  <c r="BN69" i="4" s="1"/>
  <c r="BL62" i="4"/>
  <c r="BM62" i="4" s="1"/>
  <c r="BN62" i="4" s="1"/>
  <c r="BL54" i="4"/>
  <c r="BM54" i="4" s="1"/>
  <c r="BN54" i="4" s="1"/>
  <c r="BL61" i="4"/>
  <c r="BM61" i="4" s="1"/>
  <c r="BN61" i="4" s="1"/>
  <c r="BL76" i="4"/>
  <c r="BM76" i="4" s="1"/>
  <c r="BN76" i="4" s="1"/>
  <c r="BL82" i="4"/>
  <c r="BM82" i="4" s="1"/>
  <c r="BN82" i="4" s="1"/>
  <c r="BL115" i="4"/>
  <c r="BM115" i="4" s="1"/>
  <c r="BN115" i="4" s="1"/>
  <c r="BL94" i="4"/>
  <c r="BM94" i="4" s="1"/>
  <c r="BN94" i="4" s="1"/>
  <c r="BL68" i="4"/>
  <c r="BM68" i="4" s="1"/>
  <c r="BN68" i="4" s="1"/>
  <c r="BL38" i="4"/>
  <c r="BM38" i="4" s="1"/>
  <c r="BN38" i="4" s="1"/>
  <c r="BL10" i="4"/>
  <c r="BM10" i="4" s="1"/>
  <c r="BN10" i="4" s="1"/>
  <c r="BL119" i="4"/>
  <c r="BM119" i="4" s="1"/>
  <c r="BN119" i="4" s="1"/>
  <c r="BL98" i="4"/>
  <c r="BM98" i="4" s="1"/>
  <c r="BN98" i="4" s="1"/>
  <c r="BL73" i="4"/>
  <c r="BM73" i="4" s="1"/>
  <c r="BN73" i="4" s="1"/>
  <c r="BL44" i="4"/>
  <c r="BM44" i="4" s="1"/>
  <c r="BN44" i="4" s="1"/>
  <c r="BL97" i="4"/>
  <c r="BM97" i="4" s="1"/>
  <c r="BN97" i="4" s="1"/>
  <c r="BL70" i="4"/>
  <c r="BM70" i="4" s="1"/>
  <c r="BN70" i="4" s="1"/>
  <c r="BL120" i="4"/>
  <c r="BM120" i="4" s="1"/>
  <c r="BN120" i="4" s="1"/>
  <c r="BL66" i="4"/>
  <c r="BM66" i="4" s="1"/>
  <c r="BN66" i="4" s="1"/>
  <c r="BL45" i="4"/>
  <c r="BM45" i="4" s="1"/>
  <c r="BN45" i="4" s="1"/>
  <c r="BL83" i="4"/>
  <c r="BM83" i="4" s="1"/>
  <c r="BN83" i="4" s="1"/>
  <c r="BL51" i="4"/>
  <c r="BM51" i="4" s="1"/>
  <c r="BN51" i="4" s="1"/>
  <c r="BL107" i="4"/>
  <c r="BM107" i="4" s="1"/>
  <c r="BN107" i="4" s="1"/>
  <c r="BL91" i="4"/>
  <c r="BM91" i="4" s="1"/>
  <c r="BN91" i="4" s="1"/>
  <c r="BL75" i="4"/>
  <c r="BM75" i="4" s="1"/>
  <c r="BN75" i="4" s="1"/>
  <c r="BL59" i="4"/>
  <c r="BM59" i="4" s="1"/>
  <c r="BN59" i="4" s="1"/>
  <c r="T477" i="6"/>
  <c r="AF477" i="6"/>
  <c r="BD477" i="6"/>
  <c r="R477" i="6"/>
  <c r="BC477" i="6"/>
  <c r="AI477" i="6"/>
  <c r="S477" i="6"/>
  <c r="W477" i="6"/>
  <c r="N477" i="6"/>
  <c r="J477" i="6"/>
  <c r="F477" i="6"/>
  <c r="AD477" i="6"/>
  <c r="AW477" i="6"/>
  <c r="Q477" i="6"/>
  <c r="X477" i="6"/>
  <c r="O477" i="6"/>
  <c r="H477" i="6"/>
  <c r="BF477" i="6"/>
  <c r="Z477" i="6"/>
  <c r="AS477" i="6"/>
  <c r="AC477" i="6"/>
  <c r="AR477" i="6"/>
  <c r="P477" i="6"/>
  <c r="AM477" i="6"/>
  <c r="G477" i="6"/>
  <c r="AJ477" i="6"/>
  <c r="AY477" i="6"/>
  <c r="BB477" i="6"/>
  <c r="AL477" i="6"/>
  <c r="V477" i="6"/>
  <c r="BE477" i="6"/>
  <c r="AO477" i="6"/>
  <c r="Y477" i="6"/>
  <c r="I477" i="6"/>
  <c r="AT477" i="6"/>
  <c r="AG477" i="6"/>
  <c r="AU477" i="6"/>
  <c r="AV477" i="6"/>
  <c r="AA477" i="6"/>
  <c r="AP477" i="6"/>
  <c r="M477" i="6"/>
  <c r="AN477" i="6"/>
  <c r="L477" i="6"/>
  <c r="AE477" i="6"/>
  <c r="E477" i="6"/>
  <c r="AB477" i="6"/>
  <c r="AQ477" i="6"/>
  <c r="K477" i="6"/>
  <c r="AX477" i="6"/>
  <c r="AH477" i="6"/>
  <c r="BA477" i="6"/>
  <c r="AK477" i="6"/>
  <c r="U477" i="6"/>
  <c r="AZ477" i="6"/>
  <c r="D477" i="6"/>
  <c r="BG23" i="6" l="1"/>
  <c r="BG2" i="6"/>
  <c r="BH2" i="6" s="1"/>
  <c r="BI2" i="6" s="1"/>
  <c r="BJ2" i="6" s="1"/>
  <c r="BG4" i="6"/>
  <c r="BG8" i="6"/>
  <c r="BG12" i="6"/>
  <c r="BG16" i="6"/>
  <c r="BG20" i="6"/>
  <c r="BG24" i="6"/>
  <c r="BG28" i="6"/>
  <c r="BG32" i="6"/>
  <c r="BG36" i="6"/>
  <c r="BG40" i="6"/>
  <c r="BG44" i="6"/>
  <c r="BG48" i="6"/>
  <c r="BG52" i="6"/>
  <c r="BG56" i="6"/>
  <c r="BG60" i="6"/>
  <c r="BG64" i="6"/>
  <c r="BG68" i="6"/>
  <c r="BG72" i="6"/>
  <c r="BG76" i="6"/>
  <c r="BG80" i="6"/>
  <c r="BG84" i="6"/>
  <c r="BG88" i="6"/>
  <c r="BG92" i="6"/>
  <c r="BG96" i="6"/>
  <c r="BG100" i="6"/>
  <c r="BG104" i="6"/>
  <c r="BG108" i="6"/>
  <c r="BG112" i="6"/>
  <c r="BG116" i="6"/>
  <c r="BG120" i="6"/>
  <c r="BG124" i="6"/>
  <c r="BG128" i="6"/>
  <c r="BG132" i="6"/>
  <c r="BG136" i="6"/>
  <c r="BG140" i="6"/>
  <c r="BG144" i="6"/>
  <c r="BG148" i="6"/>
  <c r="BG152" i="6"/>
  <c r="BG156" i="6"/>
  <c r="BG160" i="6"/>
  <c r="BG164" i="6"/>
  <c r="BG168" i="6"/>
  <c r="BG172" i="6"/>
  <c r="BG176" i="6"/>
  <c r="BG180" i="6"/>
  <c r="BG184" i="6"/>
  <c r="BG188" i="6"/>
  <c r="BG192" i="6"/>
  <c r="BG196" i="6"/>
  <c r="BG200" i="6"/>
  <c r="BG204" i="6"/>
  <c r="BG208" i="6"/>
  <c r="BG212" i="6"/>
  <c r="BG216" i="6"/>
  <c r="BG220" i="6"/>
  <c r="BG224" i="6"/>
  <c r="BG228" i="6"/>
  <c r="BG232" i="6"/>
  <c r="BG236" i="6"/>
  <c r="BG240" i="6"/>
  <c r="BG244" i="6"/>
  <c r="BG248" i="6"/>
  <c r="BG252" i="6"/>
  <c r="BG256" i="6"/>
  <c r="BG260" i="6"/>
  <c r="BG264" i="6"/>
  <c r="BG268" i="6"/>
  <c r="BG272" i="6"/>
  <c r="BG276" i="6"/>
  <c r="BG280" i="6"/>
  <c r="BG284" i="6"/>
  <c r="BG288" i="6"/>
  <c r="BG292" i="6"/>
  <c r="BG296" i="6"/>
  <c r="BG300" i="6"/>
  <c r="BG304" i="6"/>
  <c r="BG308" i="6"/>
  <c r="BG312" i="6"/>
  <c r="BG316" i="6"/>
  <c r="BG320" i="6"/>
  <c r="BG324" i="6"/>
  <c r="BG328" i="6"/>
  <c r="BG332" i="6"/>
  <c r="BG336" i="6"/>
  <c r="BG340" i="6"/>
  <c r="BG5" i="6"/>
  <c r="BG10" i="6"/>
  <c r="BG15" i="6"/>
  <c r="BG21" i="6"/>
  <c r="BG26" i="6"/>
  <c r="BG31" i="6"/>
  <c r="BG37" i="6"/>
  <c r="BG42" i="6"/>
  <c r="BG47" i="6"/>
  <c r="BG53" i="6"/>
  <c r="BG58" i="6"/>
  <c r="BG63" i="6"/>
  <c r="BG69" i="6"/>
  <c r="BG74" i="6"/>
  <c r="BG79" i="6"/>
  <c r="BG85" i="6"/>
  <c r="BG90" i="6"/>
  <c r="BG95" i="6"/>
  <c r="BG101" i="6"/>
  <c r="BG106" i="6"/>
  <c r="BG111" i="6"/>
  <c r="BG117" i="6"/>
  <c r="BG122" i="6"/>
  <c r="BG127" i="6"/>
  <c r="BG133" i="6"/>
  <c r="BG138" i="6"/>
  <c r="BG143" i="6"/>
  <c r="BG149" i="6"/>
  <c r="BG154" i="6"/>
  <c r="BG159" i="6"/>
  <c r="BG165" i="6"/>
  <c r="BG170" i="6"/>
  <c r="BG175" i="6"/>
  <c r="BG181" i="6"/>
  <c r="BG186" i="6"/>
  <c r="BG191" i="6"/>
  <c r="BG197" i="6"/>
  <c r="BG202" i="6"/>
  <c r="BG207" i="6"/>
  <c r="BG213" i="6"/>
  <c r="BG218" i="6"/>
  <c r="BG223" i="6"/>
  <c r="BG229" i="6"/>
  <c r="BG234" i="6"/>
  <c r="BG239" i="6"/>
  <c r="BG245" i="6"/>
  <c r="BG250" i="6"/>
  <c r="BG255" i="6"/>
  <c r="BG261" i="6"/>
  <c r="BG266" i="6"/>
  <c r="BG271" i="6"/>
  <c r="BG277" i="6"/>
  <c r="BG282" i="6"/>
  <c r="BG287" i="6"/>
  <c r="BG293" i="6"/>
  <c r="BG298" i="6"/>
  <c r="BG303" i="6"/>
  <c r="BG309" i="6"/>
  <c r="BG314" i="6"/>
  <c r="BG319" i="6"/>
  <c r="BG325" i="6"/>
  <c r="BG330" i="6"/>
  <c r="BG335" i="6"/>
  <c r="BG341" i="6"/>
  <c r="BG345" i="6"/>
  <c r="BG349" i="6"/>
  <c r="BG353" i="6"/>
  <c r="BG357" i="6"/>
  <c r="BG361" i="6"/>
  <c r="BG365" i="6"/>
  <c r="BG369" i="6"/>
  <c r="BG373" i="6"/>
  <c r="BG377" i="6"/>
  <c r="BG381" i="6"/>
  <c r="BG385" i="6"/>
  <c r="BG389" i="6"/>
  <c r="BG393" i="6"/>
  <c r="BG397" i="6"/>
  <c r="BG401" i="6"/>
  <c r="BG405" i="6"/>
  <c r="BG409" i="6"/>
  <c r="BG413" i="6"/>
  <c r="BG417" i="6"/>
  <c r="BG421" i="6"/>
  <c r="BG425" i="6"/>
  <c r="BG429" i="6"/>
  <c r="BG433" i="6"/>
  <c r="BG437" i="6"/>
  <c r="BG441" i="6"/>
  <c r="BG445" i="6"/>
  <c r="BG449" i="6"/>
  <c r="BG453" i="6"/>
  <c r="BG457" i="6"/>
  <c r="BG461" i="6"/>
  <c r="BG465" i="6"/>
  <c r="BG469" i="6"/>
  <c r="BG3" i="6"/>
  <c r="BG6" i="6"/>
  <c r="BG11" i="6"/>
  <c r="BG17" i="6"/>
  <c r="BG22" i="6"/>
  <c r="BH22" i="6" s="1"/>
  <c r="BI22" i="6" s="1"/>
  <c r="BG27" i="6"/>
  <c r="BG33" i="6"/>
  <c r="BG38" i="6"/>
  <c r="BG43" i="6"/>
  <c r="BH43" i="6" s="1"/>
  <c r="BI43" i="6" s="1"/>
  <c r="BG49" i="6"/>
  <c r="BG54" i="6"/>
  <c r="BG59" i="6"/>
  <c r="BG65" i="6"/>
  <c r="BH65" i="6" s="1"/>
  <c r="BI65" i="6" s="1"/>
  <c r="BG70" i="6"/>
  <c r="BG75" i="6"/>
  <c r="BG81" i="6"/>
  <c r="BG86" i="6"/>
  <c r="BH86" i="6" s="1"/>
  <c r="BI86" i="6" s="1"/>
  <c r="BG91" i="6"/>
  <c r="BG97" i="6"/>
  <c r="BG102" i="6"/>
  <c r="BG107" i="6"/>
  <c r="BH107" i="6" s="1"/>
  <c r="BI107" i="6" s="1"/>
  <c r="BG113" i="6"/>
  <c r="BG118" i="6"/>
  <c r="BG123" i="6"/>
  <c r="BG129" i="6"/>
  <c r="BH129" i="6" s="1"/>
  <c r="BI129" i="6" s="1"/>
  <c r="BG134" i="6"/>
  <c r="BG139" i="6"/>
  <c r="BG145" i="6"/>
  <c r="BG150" i="6"/>
  <c r="BH150" i="6" s="1"/>
  <c r="BI150" i="6" s="1"/>
  <c r="BG155" i="6"/>
  <c r="BG161" i="6"/>
  <c r="BG166" i="6"/>
  <c r="BG171" i="6"/>
  <c r="BH171" i="6" s="1"/>
  <c r="BI171" i="6" s="1"/>
  <c r="BG177" i="6"/>
  <c r="BG182" i="6"/>
  <c r="BG187" i="6"/>
  <c r="BG193" i="6"/>
  <c r="BH193" i="6" s="1"/>
  <c r="BI193" i="6" s="1"/>
  <c r="BG198" i="6"/>
  <c r="BG203" i="6"/>
  <c r="BG209" i="6"/>
  <c r="BG214" i="6"/>
  <c r="BH214" i="6" s="1"/>
  <c r="BI214" i="6" s="1"/>
  <c r="BG219" i="6"/>
  <c r="BG225" i="6"/>
  <c r="BG230" i="6"/>
  <c r="BG235" i="6"/>
  <c r="BH235" i="6" s="1"/>
  <c r="BI235" i="6" s="1"/>
  <c r="BG241" i="6"/>
  <c r="BG246" i="6"/>
  <c r="BG7" i="6"/>
  <c r="BG18" i="6"/>
  <c r="BH18" i="6" s="1"/>
  <c r="BI18" i="6" s="1"/>
  <c r="BG29" i="6"/>
  <c r="BG39" i="6"/>
  <c r="BG50" i="6"/>
  <c r="BG61" i="6"/>
  <c r="BH61" i="6" s="1"/>
  <c r="BI61" i="6" s="1"/>
  <c r="BG71" i="6"/>
  <c r="BG82" i="6"/>
  <c r="BG93" i="6"/>
  <c r="BG103" i="6"/>
  <c r="BH103" i="6" s="1"/>
  <c r="BI103" i="6" s="1"/>
  <c r="BG114" i="6"/>
  <c r="BG125" i="6"/>
  <c r="BG135" i="6"/>
  <c r="BG146" i="6"/>
  <c r="BH146" i="6" s="1"/>
  <c r="BI146" i="6" s="1"/>
  <c r="BG157" i="6"/>
  <c r="BG167" i="6"/>
  <c r="BG178" i="6"/>
  <c r="BG189" i="6"/>
  <c r="BH189" i="6" s="1"/>
  <c r="BI189" i="6" s="1"/>
  <c r="BG199" i="6"/>
  <c r="BG210" i="6"/>
  <c r="BG221" i="6"/>
  <c r="BH221" i="6" s="1"/>
  <c r="BI221" i="6" s="1"/>
  <c r="BG231" i="6"/>
  <c r="BH231" i="6" s="1"/>
  <c r="BI231" i="6" s="1"/>
  <c r="BG242" i="6"/>
  <c r="BG251" i="6"/>
  <c r="BG258" i="6"/>
  <c r="BG265" i="6"/>
  <c r="BH265" i="6" s="1"/>
  <c r="BI265" i="6" s="1"/>
  <c r="BG273" i="6"/>
  <c r="BG279" i="6"/>
  <c r="BG286" i="6"/>
  <c r="BG294" i="6"/>
  <c r="BH294" i="6" s="1"/>
  <c r="BI294" i="6" s="1"/>
  <c r="BG301" i="6"/>
  <c r="BG307" i="6"/>
  <c r="BG315" i="6"/>
  <c r="BG322" i="6"/>
  <c r="BH322" i="6" s="1"/>
  <c r="BI322" i="6" s="1"/>
  <c r="BG329" i="6"/>
  <c r="BG337" i="6"/>
  <c r="BG343" i="6"/>
  <c r="BG348" i="6"/>
  <c r="BH348" i="6" s="1"/>
  <c r="BI348" i="6" s="1"/>
  <c r="BG354" i="6"/>
  <c r="BG359" i="6"/>
  <c r="BG364" i="6"/>
  <c r="BG370" i="6"/>
  <c r="BH370" i="6" s="1"/>
  <c r="BI370" i="6" s="1"/>
  <c r="BG375" i="6"/>
  <c r="BG380" i="6"/>
  <c r="BG386" i="6"/>
  <c r="BG391" i="6"/>
  <c r="BH391" i="6" s="1"/>
  <c r="BI391" i="6" s="1"/>
  <c r="BG396" i="6"/>
  <c r="BG402" i="6"/>
  <c r="BG407" i="6"/>
  <c r="BG412" i="6"/>
  <c r="BH412" i="6" s="1"/>
  <c r="BI412" i="6" s="1"/>
  <c r="BG418" i="6"/>
  <c r="BG423" i="6"/>
  <c r="BG428" i="6"/>
  <c r="BG434" i="6"/>
  <c r="BH434" i="6" s="1"/>
  <c r="BI434" i="6" s="1"/>
  <c r="BG439" i="6"/>
  <c r="BG444" i="6"/>
  <c r="BG450" i="6"/>
  <c r="BG455" i="6"/>
  <c r="BH455" i="6" s="1"/>
  <c r="BI455" i="6" s="1"/>
  <c r="BG460" i="6"/>
  <c r="BG466" i="6"/>
  <c r="BG471" i="6"/>
  <c r="BG9" i="6"/>
  <c r="BH9" i="6" s="1"/>
  <c r="BI9" i="6" s="1"/>
  <c r="BG19" i="6"/>
  <c r="BG30" i="6"/>
  <c r="BG41" i="6"/>
  <c r="BG51" i="6"/>
  <c r="BH51" i="6" s="1"/>
  <c r="BI51" i="6" s="1"/>
  <c r="BG62" i="6"/>
  <c r="BG73" i="6"/>
  <c r="BG83" i="6"/>
  <c r="BG94" i="6"/>
  <c r="BH94" i="6" s="1"/>
  <c r="BI94" i="6" s="1"/>
  <c r="BG105" i="6"/>
  <c r="BG115" i="6"/>
  <c r="BG126" i="6"/>
  <c r="BG137" i="6"/>
  <c r="BH137" i="6" s="1"/>
  <c r="BI137" i="6" s="1"/>
  <c r="BG147" i="6"/>
  <c r="BG158" i="6"/>
  <c r="BG169" i="6"/>
  <c r="BG179" i="6"/>
  <c r="BH179" i="6" s="1"/>
  <c r="BI179" i="6" s="1"/>
  <c r="BG190" i="6"/>
  <c r="BG201" i="6"/>
  <c r="BG211" i="6"/>
  <c r="BG222" i="6"/>
  <c r="BH222" i="6" s="1"/>
  <c r="BI222" i="6" s="1"/>
  <c r="BG233" i="6"/>
  <c r="BG243" i="6"/>
  <c r="BG253" i="6"/>
  <c r="BG259" i="6"/>
  <c r="BH259" i="6" s="1"/>
  <c r="BI259" i="6" s="1"/>
  <c r="BG267" i="6"/>
  <c r="BG274" i="6"/>
  <c r="BG281" i="6"/>
  <c r="BG289" i="6"/>
  <c r="BH289" i="6" s="1"/>
  <c r="BI289" i="6" s="1"/>
  <c r="BG295" i="6"/>
  <c r="BG302" i="6"/>
  <c r="BG310" i="6"/>
  <c r="BG317" i="6"/>
  <c r="BH317" i="6" s="1"/>
  <c r="BI317" i="6" s="1"/>
  <c r="BG323" i="6"/>
  <c r="BG331" i="6"/>
  <c r="BG338" i="6"/>
  <c r="BG344" i="6"/>
  <c r="BH344" i="6" s="1"/>
  <c r="BI344" i="6" s="1"/>
  <c r="BG350" i="6"/>
  <c r="BG355" i="6"/>
  <c r="BG360" i="6"/>
  <c r="BG366" i="6"/>
  <c r="BH366" i="6" s="1"/>
  <c r="BI366" i="6" s="1"/>
  <c r="BG371" i="6"/>
  <c r="BG376" i="6"/>
  <c r="BG382" i="6"/>
  <c r="BG387" i="6"/>
  <c r="BH387" i="6" s="1"/>
  <c r="BI387" i="6" s="1"/>
  <c r="BG392" i="6"/>
  <c r="BG398" i="6"/>
  <c r="BG403" i="6"/>
  <c r="BG408" i="6"/>
  <c r="BH408" i="6" s="1"/>
  <c r="BI408" i="6" s="1"/>
  <c r="BG414" i="6"/>
  <c r="BG419" i="6"/>
  <c r="BG424" i="6"/>
  <c r="BH424" i="6" s="1"/>
  <c r="BI424" i="6" s="1"/>
  <c r="BG430" i="6"/>
  <c r="BH430" i="6" s="1"/>
  <c r="BI430" i="6" s="1"/>
  <c r="BG435" i="6"/>
  <c r="BG440" i="6"/>
  <c r="BG446" i="6"/>
  <c r="BH446" i="6" s="1"/>
  <c r="BI446" i="6" s="1"/>
  <c r="BG451" i="6"/>
  <c r="BH451" i="6" s="1"/>
  <c r="BI451" i="6" s="1"/>
  <c r="BG456" i="6"/>
  <c r="BG462" i="6"/>
  <c r="BG467" i="6"/>
  <c r="BH467" i="6" s="1"/>
  <c r="BI467" i="6" s="1"/>
  <c r="BG472" i="6"/>
  <c r="BH472" i="6" s="1"/>
  <c r="BI472" i="6" s="1"/>
  <c r="BG13" i="6"/>
  <c r="BG34" i="6"/>
  <c r="BG45" i="6"/>
  <c r="BH45" i="6" s="1"/>
  <c r="BI45" i="6" s="1"/>
  <c r="BG55" i="6"/>
  <c r="BH55" i="6" s="1"/>
  <c r="BI55" i="6" s="1"/>
  <c r="BG66" i="6"/>
  <c r="BG77" i="6"/>
  <c r="BG87" i="6"/>
  <c r="BH87" i="6" s="1"/>
  <c r="BI87" i="6" s="1"/>
  <c r="BG98" i="6"/>
  <c r="BH98" i="6" s="1"/>
  <c r="BI98" i="6" s="1"/>
  <c r="BG109" i="6"/>
  <c r="BG119" i="6"/>
  <c r="BG130" i="6"/>
  <c r="BH130" i="6" s="1"/>
  <c r="BI130" i="6" s="1"/>
  <c r="BG141" i="6"/>
  <c r="BH141" i="6" s="1"/>
  <c r="BI141" i="6" s="1"/>
  <c r="BG151" i="6"/>
  <c r="BG162" i="6"/>
  <c r="BG173" i="6"/>
  <c r="BH173" i="6" s="1"/>
  <c r="BI173" i="6" s="1"/>
  <c r="BG183" i="6"/>
  <c r="BH183" i="6" s="1"/>
  <c r="BI183" i="6" s="1"/>
  <c r="BG194" i="6"/>
  <c r="BG205" i="6"/>
  <c r="BG215" i="6"/>
  <c r="BH215" i="6" s="1"/>
  <c r="BI215" i="6" s="1"/>
  <c r="BG226" i="6"/>
  <c r="BH226" i="6" s="1"/>
  <c r="BI226" i="6" s="1"/>
  <c r="BG237" i="6"/>
  <c r="BG247" i="6"/>
  <c r="BG254" i="6"/>
  <c r="BH254" i="6" s="1"/>
  <c r="BI254" i="6" s="1"/>
  <c r="BG262" i="6"/>
  <c r="BH262" i="6" s="1"/>
  <c r="BI262" i="6" s="1"/>
  <c r="BG269" i="6"/>
  <c r="BG275" i="6"/>
  <c r="BG283" i="6"/>
  <c r="BH283" i="6" s="1"/>
  <c r="BI283" i="6" s="1"/>
  <c r="BG290" i="6"/>
  <c r="BH290" i="6" s="1"/>
  <c r="BI290" i="6" s="1"/>
  <c r="BG297" i="6"/>
  <c r="BG305" i="6"/>
  <c r="BG311" i="6"/>
  <c r="BH311" i="6" s="1"/>
  <c r="BI311" i="6" s="1"/>
  <c r="BG318" i="6"/>
  <c r="BH318" i="6" s="1"/>
  <c r="BI318" i="6" s="1"/>
  <c r="BG326" i="6"/>
  <c r="BG333" i="6"/>
  <c r="BG339" i="6"/>
  <c r="BH339" i="6" s="1"/>
  <c r="BI339" i="6" s="1"/>
  <c r="BG346" i="6"/>
  <c r="BH346" i="6" s="1"/>
  <c r="BI346" i="6" s="1"/>
  <c r="BG351" i="6"/>
  <c r="BG356" i="6"/>
  <c r="BG362" i="6"/>
  <c r="BH362" i="6" s="1"/>
  <c r="BI362" i="6" s="1"/>
  <c r="BG367" i="6"/>
  <c r="BH367" i="6" s="1"/>
  <c r="BI367" i="6" s="1"/>
  <c r="BG372" i="6"/>
  <c r="BG378" i="6"/>
  <c r="BG383" i="6"/>
  <c r="BH383" i="6" s="1"/>
  <c r="BI383" i="6" s="1"/>
  <c r="BG388" i="6"/>
  <c r="BH388" i="6" s="1"/>
  <c r="BI388" i="6" s="1"/>
  <c r="BG394" i="6"/>
  <c r="BG399" i="6"/>
  <c r="BG404" i="6"/>
  <c r="BH404" i="6" s="1"/>
  <c r="BI404" i="6" s="1"/>
  <c r="BG410" i="6"/>
  <c r="BH410" i="6" s="1"/>
  <c r="BI410" i="6" s="1"/>
  <c r="BG415" i="6"/>
  <c r="BG420" i="6"/>
  <c r="BG426" i="6"/>
  <c r="BH426" i="6" s="1"/>
  <c r="BI426" i="6" s="1"/>
  <c r="BG431" i="6"/>
  <c r="BH431" i="6" s="1"/>
  <c r="BI431" i="6" s="1"/>
  <c r="BG436" i="6"/>
  <c r="BG442" i="6"/>
  <c r="BG447" i="6"/>
  <c r="BH447" i="6" s="1"/>
  <c r="BI447" i="6" s="1"/>
  <c r="BG452" i="6"/>
  <c r="BH452" i="6" s="1"/>
  <c r="BI452" i="6" s="1"/>
  <c r="BG458" i="6"/>
  <c r="BG463" i="6"/>
  <c r="BG468" i="6"/>
  <c r="BH468" i="6" s="1"/>
  <c r="BI468" i="6" s="1"/>
  <c r="BG14" i="6"/>
  <c r="BH14" i="6" s="1"/>
  <c r="BI14" i="6" s="1"/>
  <c r="BG25" i="6"/>
  <c r="BG35" i="6"/>
  <c r="BG46" i="6"/>
  <c r="BH46" i="6" s="1"/>
  <c r="BI46" i="6" s="1"/>
  <c r="BG57" i="6"/>
  <c r="BH57" i="6" s="1"/>
  <c r="BI57" i="6" s="1"/>
  <c r="BG67" i="6"/>
  <c r="BG78" i="6"/>
  <c r="BG89" i="6"/>
  <c r="BH89" i="6" s="1"/>
  <c r="BI89" i="6" s="1"/>
  <c r="BG99" i="6"/>
  <c r="BH99" i="6" s="1"/>
  <c r="BI99" i="6" s="1"/>
  <c r="BG110" i="6"/>
  <c r="BG121" i="6"/>
  <c r="BG131" i="6"/>
  <c r="BH131" i="6" s="1"/>
  <c r="BI131" i="6" s="1"/>
  <c r="BG142" i="6"/>
  <c r="BH142" i="6" s="1"/>
  <c r="BI142" i="6" s="1"/>
  <c r="BG153" i="6"/>
  <c r="BG163" i="6"/>
  <c r="BG174" i="6"/>
  <c r="BH174" i="6" s="1"/>
  <c r="BI174" i="6" s="1"/>
  <c r="BG185" i="6"/>
  <c r="BH185" i="6" s="1"/>
  <c r="BI185" i="6" s="1"/>
  <c r="BG195" i="6"/>
  <c r="BG206" i="6"/>
  <c r="BG217" i="6"/>
  <c r="BH217" i="6" s="1"/>
  <c r="BI217" i="6" s="1"/>
  <c r="BG227" i="6"/>
  <c r="BH227" i="6" s="1"/>
  <c r="BI227" i="6" s="1"/>
  <c r="BG238" i="6"/>
  <c r="BG249" i="6"/>
  <c r="BG257" i="6"/>
  <c r="BH257" i="6" s="1"/>
  <c r="BI257" i="6" s="1"/>
  <c r="BG263" i="6"/>
  <c r="BH263" i="6" s="1"/>
  <c r="BI263" i="6" s="1"/>
  <c r="BG270" i="6"/>
  <c r="BG278" i="6"/>
  <c r="BG285" i="6"/>
  <c r="BH285" i="6" s="1"/>
  <c r="BI285" i="6" s="1"/>
  <c r="BG291" i="6"/>
  <c r="BH291" i="6" s="1"/>
  <c r="BI291" i="6" s="1"/>
  <c r="BG299" i="6"/>
  <c r="BG306" i="6"/>
  <c r="BG313" i="6"/>
  <c r="BH313" i="6" s="1"/>
  <c r="BI313" i="6" s="1"/>
  <c r="BG321" i="6"/>
  <c r="BH321" i="6" s="1"/>
  <c r="BI321" i="6" s="1"/>
  <c r="BG327" i="6"/>
  <c r="BG334" i="6"/>
  <c r="BG342" i="6"/>
  <c r="BH342" i="6" s="1"/>
  <c r="BI342" i="6" s="1"/>
  <c r="BG347" i="6"/>
  <c r="BH347" i="6" s="1"/>
  <c r="BI347" i="6" s="1"/>
  <c r="BG352" i="6"/>
  <c r="BG358" i="6"/>
  <c r="BG363" i="6"/>
  <c r="BH363" i="6" s="1"/>
  <c r="BI363" i="6" s="1"/>
  <c r="BG368" i="6"/>
  <c r="BH368" i="6" s="1"/>
  <c r="BI368" i="6" s="1"/>
  <c r="BG374" i="6"/>
  <c r="BG379" i="6"/>
  <c r="BG384" i="6"/>
  <c r="BH384" i="6" s="1"/>
  <c r="BI384" i="6" s="1"/>
  <c r="BG390" i="6"/>
  <c r="BH390" i="6" s="1"/>
  <c r="BI390" i="6" s="1"/>
  <c r="BG395" i="6"/>
  <c r="BG400" i="6"/>
  <c r="BG406" i="6"/>
  <c r="BH406" i="6" s="1"/>
  <c r="BI406" i="6" s="1"/>
  <c r="BG411" i="6"/>
  <c r="BH411" i="6" s="1"/>
  <c r="BI411" i="6" s="1"/>
  <c r="BG416" i="6"/>
  <c r="BG422" i="6"/>
  <c r="BG427" i="6"/>
  <c r="BH427" i="6" s="1"/>
  <c r="BI427" i="6" s="1"/>
  <c r="BG432" i="6"/>
  <c r="BH432" i="6" s="1"/>
  <c r="BI432" i="6" s="1"/>
  <c r="BG438" i="6"/>
  <c r="BG443" i="6"/>
  <c r="BG448" i="6"/>
  <c r="BH448" i="6" s="1"/>
  <c r="BI448" i="6" s="1"/>
  <c r="BG454" i="6"/>
  <c r="BH454" i="6" s="1"/>
  <c r="BI454" i="6" s="1"/>
  <c r="BG459" i="6"/>
  <c r="BG464" i="6"/>
  <c r="BG470" i="6"/>
  <c r="BH470" i="6" s="1"/>
  <c r="BI470" i="6" s="1"/>
  <c r="BH3" i="6" l="1"/>
  <c r="BI3" i="6" s="1"/>
  <c r="BH457" i="6"/>
  <c r="BI457" i="6" s="1"/>
  <c r="BH441" i="6"/>
  <c r="BI441" i="6" s="1"/>
  <c r="BH425" i="6"/>
  <c r="BI425" i="6" s="1"/>
  <c r="BH409" i="6"/>
  <c r="BI409" i="6" s="1"/>
  <c r="BH393" i="6"/>
  <c r="BI393" i="6" s="1"/>
  <c r="BH377" i="6"/>
  <c r="BI377" i="6" s="1"/>
  <c r="BH361" i="6"/>
  <c r="BI361" i="6" s="1"/>
  <c r="BH345" i="6"/>
  <c r="BI345" i="6" s="1"/>
  <c r="BH325" i="6"/>
  <c r="BI325" i="6" s="1"/>
  <c r="BH303" i="6"/>
  <c r="BI303" i="6" s="1"/>
  <c r="BH282" i="6"/>
  <c r="BI282" i="6" s="1"/>
  <c r="BH261" i="6"/>
  <c r="BI261" i="6" s="1"/>
  <c r="BH239" i="6"/>
  <c r="BI239" i="6" s="1"/>
  <c r="BH218" i="6"/>
  <c r="BI218" i="6" s="1"/>
  <c r="BH197" i="6"/>
  <c r="BI197" i="6" s="1"/>
  <c r="BH175" i="6"/>
  <c r="BI175" i="6" s="1"/>
  <c r="BH154" i="6"/>
  <c r="BI154" i="6" s="1"/>
  <c r="BH133" i="6"/>
  <c r="BI133" i="6" s="1"/>
  <c r="BH111" i="6"/>
  <c r="BI111" i="6" s="1"/>
  <c r="BH90" i="6"/>
  <c r="BI90" i="6" s="1"/>
  <c r="BH69" i="6"/>
  <c r="BI69" i="6" s="1"/>
  <c r="BH47" i="6"/>
  <c r="BI47" i="6" s="1"/>
  <c r="BH26" i="6"/>
  <c r="BI26" i="6" s="1"/>
  <c r="BH5" i="6"/>
  <c r="BI5" i="6" s="1"/>
  <c r="BH328" i="6"/>
  <c r="BI328" i="6" s="1"/>
  <c r="BH312" i="6"/>
  <c r="BI312" i="6" s="1"/>
  <c r="BH296" i="6"/>
  <c r="BI296" i="6" s="1"/>
  <c r="BH280" i="6"/>
  <c r="BI280" i="6" s="1"/>
  <c r="BH264" i="6"/>
  <c r="BI264" i="6" s="1"/>
  <c r="BH248" i="6"/>
  <c r="BI248" i="6" s="1"/>
  <c r="BH232" i="6"/>
  <c r="BI232" i="6" s="1"/>
  <c r="BH216" i="6"/>
  <c r="BI216" i="6" s="1"/>
  <c r="BH200" i="6"/>
  <c r="BI200" i="6" s="1"/>
  <c r="BH184" i="6"/>
  <c r="BI184" i="6" s="1"/>
  <c r="BH168" i="6"/>
  <c r="BI168" i="6" s="1"/>
  <c r="BH152" i="6"/>
  <c r="BI152" i="6" s="1"/>
  <c r="BH136" i="6"/>
  <c r="BI136" i="6" s="1"/>
  <c r="BH120" i="6"/>
  <c r="BI120" i="6" s="1"/>
  <c r="BH104" i="6"/>
  <c r="BI104" i="6" s="1"/>
  <c r="BH88" i="6"/>
  <c r="BI88" i="6" s="1"/>
  <c r="BH72" i="6"/>
  <c r="BI72" i="6" s="1"/>
  <c r="BH56" i="6"/>
  <c r="BI56" i="6" s="1"/>
  <c r="BH40" i="6"/>
  <c r="BI40" i="6" s="1"/>
  <c r="BH24" i="6"/>
  <c r="BI24" i="6" s="1"/>
  <c r="BH8" i="6"/>
  <c r="BI8" i="6" s="1"/>
  <c r="BH178" i="6"/>
  <c r="BI178" i="6" s="1"/>
  <c r="BH135" i="6"/>
  <c r="BI135" i="6" s="1"/>
  <c r="BH93" i="6"/>
  <c r="BI93" i="6" s="1"/>
  <c r="BH50" i="6"/>
  <c r="BI50" i="6" s="1"/>
  <c r="BH7" i="6"/>
  <c r="BI7" i="6" s="1"/>
  <c r="BH230" i="6"/>
  <c r="BI230" i="6" s="1"/>
  <c r="BH209" i="6"/>
  <c r="BI209" i="6" s="1"/>
  <c r="BH187" i="6"/>
  <c r="BI187" i="6" s="1"/>
  <c r="BH166" i="6"/>
  <c r="BI166" i="6" s="1"/>
  <c r="BH145" i="6"/>
  <c r="BI145" i="6" s="1"/>
  <c r="BH123" i="6"/>
  <c r="BI123" i="6" s="1"/>
  <c r="BH102" i="6"/>
  <c r="BI102" i="6" s="1"/>
  <c r="BH81" i="6"/>
  <c r="BI81" i="6" s="1"/>
  <c r="BH59" i="6"/>
  <c r="BI59" i="6" s="1"/>
  <c r="BH38" i="6"/>
  <c r="BI38" i="6" s="1"/>
  <c r="BH17" i="6"/>
  <c r="BI17" i="6" s="1"/>
  <c r="BH469" i="6"/>
  <c r="BI469" i="6" s="1"/>
  <c r="BH453" i="6"/>
  <c r="BI453" i="6" s="1"/>
  <c r="BH437" i="6"/>
  <c r="BI437" i="6" s="1"/>
  <c r="BH421" i="6"/>
  <c r="BI421" i="6" s="1"/>
  <c r="BH405" i="6"/>
  <c r="BI405" i="6" s="1"/>
  <c r="BH389" i="6"/>
  <c r="BI389" i="6" s="1"/>
  <c r="BH373" i="6"/>
  <c r="BI373" i="6" s="1"/>
  <c r="BH357" i="6"/>
  <c r="BI357" i="6" s="1"/>
  <c r="BH341" i="6"/>
  <c r="BI341" i="6" s="1"/>
  <c r="BH319" i="6"/>
  <c r="BI319" i="6" s="1"/>
  <c r="BH298" i="6"/>
  <c r="BI298" i="6" s="1"/>
  <c r="BH277" i="6"/>
  <c r="BI277" i="6" s="1"/>
  <c r="BH255" i="6"/>
  <c r="BI255" i="6" s="1"/>
  <c r="BH234" i="6"/>
  <c r="BI234" i="6" s="1"/>
  <c r="BH213" i="6"/>
  <c r="BI213" i="6" s="1"/>
  <c r="BH191" i="6"/>
  <c r="BI191" i="6" s="1"/>
  <c r="BH170" i="6"/>
  <c r="BI170" i="6" s="1"/>
  <c r="BH149" i="6"/>
  <c r="BI149" i="6" s="1"/>
  <c r="BH127" i="6"/>
  <c r="BI127" i="6" s="1"/>
  <c r="BH106" i="6"/>
  <c r="BI106" i="6" s="1"/>
  <c r="BH85" i="6"/>
  <c r="BI85" i="6" s="1"/>
  <c r="BH403" i="6"/>
  <c r="BI403" i="6" s="1"/>
  <c r="BH382" i="6"/>
  <c r="BI382" i="6" s="1"/>
  <c r="BH360" i="6"/>
  <c r="BI360" i="6" s="1"/>
  <c r="BH338" i="6"/>
  <c r="BI338" i="6" s="1"/>
  <c r="BH310" i="6"/>
  <c r="BI310" i="6" s="1"/>
  <c r="BH281" i="6"/>
  <c r="BI281" i="6" s="1"/>
  <c r="BH253" i="6"/>
  <c r="BI253" i="6" s="1"/>
  <c r="BH211" i="6"/>
  <c r="BI211" i="6" s="1"/>
  <c r="BH169" i="6"/>
  <c r="BI169" i="6" s="1"/>
  <c r="BH126" i="6"/>
  <c r="BI126" i="6" s="1"/>
  <c r="BH83" i="6"/>
  <c r="BI83" i="6" s="1"/>
  <c r="BH41" i="6"/>
  <c r="BI41" i="6" s="1"/>
  <c r="BH471" i="6"/>
  <c r="BI471" i="6" s="1"/>
  <c r="BH450" i="6"/>
  <c r="BI450" i="6" s="1"/>
  <c r="BH428" i="6"/>
  <c r="BI428" i="6" s="1"/>
  <c r="BH407" i="6"/>
  <c r="BI407" i="6" s="1"/>
  <c r="BH386" i="6"/>
  <c r="BI386" i="6" s="1"/>
  <c r="BH364" i="6"/>
  <c r="BI364" i="6" s="1"/>
  <c r="BH343" i="6"/>
  <c r="BI343" i="6" s="1"/>
  <c r="BH315" i="6"/>
  <c r="BI315" i="6" s="1"/>
  <c r="BH286" i="6"/>
  <c r="BI286" i="6" s="1"/>
  <c r="BH258" i="6"/>
  <c r="BI258" i="6" s="1"/>
  <c r="BH464" i="6"/>
  <c r="BI464" i="6" s="1"/>
  <c r="BH443" i="6"/>
  <c r="BI443" i="6" s="1"/>
  <c r="BH422" i="6"/>
  <c r="BI422" i="6" s="1"/>
  <c r="BH400" i="6"/>
  <c r="BI400" i="6" s="1"/>
  <c r="BH379" i="6"/>
  <c r="BI379" i="6" s="1"/>
  <c r="BH358" i="6"/>
  <c r="BI358" i="6" s="1"/>
  <c r="BH334" i="6"/>
  <c r="BI334" i="6" s="1"/>
  <c r="BH306" i="6"/>
  <c r="BI306" i="6" s="1"/>
  <c r="BH278" i="6"/>
  <c r="BI278" i="6" s="1"/>
  <c r="BH249" i="6"/>
  <c r="BI249" i="6" s="1"/>
  <c r="BH206" i="6"/>
  <c r="BI206" i="6" s="1"/>
  <c r="BH163" i="6"/>
  <c r="BI163" i="6" s="1"/>
  <c r="BH121" i="6"/>
  <c r="BI121" i="6" s="1"/>
  <c r="BH78" i="6"/>
  <c r="BI78" i="6" s="1"/>
  <c r="BH35" i="6"/>
  <c r="BI35" i="6" s="1"/>
  <c r="BH463" i="6"/>
  <c r="BI463" i="6" s="1"/>
  <c r="BH442" i="6"/>
  <c r="BI442" i="6" s="1"/>
  <c r="BH420" i="6"/>
  <c r="BI420" i="6" s="1"/>
  <c r="BH399" i="6"/>
  <c r="BI399" i="6" s="1"/>
  <c r="BH378" i="6"/>
  <c r="BI378" i="6" s="1"/>
  <c r="BH356" i="6"/>
  <c r="BI356" i="6" s="1"/>
  <c r="BH333" i="6"/>
  <c r="BI333" i="6" s="1"/>
  <c r="BH305" i="6"/>
  <c r="BI305" i="6" s="1"/>
  <c r="BH275" i="6"/>
  <c r="BI275" i="6" s="1"/>
  <c r="BH247" i="6"/>
  <c r="BI247" i="6" s="1"/>
  <c r="BH205" i="6"/>
  <c r="BI205" i="6" s="1"/>
  <c r="BH162" i="6"/>
  <c r="BI162" i="6" s="1"/>
  <c r="BH119" i="6"/>
  <c r="BI119" i="6" s="1"/>
  <c r="BH77" i="6"/>
  <c r="BI77" i="6" s="1"/>
  <c r="BH34" i="6"/>
  <c r="BI34" i="6" s="1"/>
  <c r="BH462" i="6"/>
  <c r="BI462" i="6" s="1"/>
  <c r="BH440" i="6"/>
  <c r="BI440" i="6" s="1"/>
  <c r="BH419" i="6"/>
  <c r="BI419" i="6" s="1"/>
  <c r="BH398" i="6"/>
  <c r="BI398" i="6" s="1"/>
  <c r="BH376" i="6"/>
  <c r="BI376" i="6" s="1"/>
  <c r="BH355" i="6"/>
  <c r="BI355" i="6" s="1"/>
  <c r="BH331" i="6"/>
  <c r="BI331" i="6" s="1"/>
  <c r="BH302" i="6"/>
  <c r="BI302" i="6" s="1"/>
  <c r="BH274" i="6"/>
  <c r="BI274" i="6" s="1"/>
  <c r="BH243" i="6"/>
  <c r="BI243" i="6" s="1"/>
  <c r="BH201" i="6"/>
  <c r="BI201" i="6" s="1"/>
  <c r="BH158" i="6"/>
  <c r="BI158" i="6" s="1"/>
  <c r="BH115" i="6"/>
  <c r="BI115" i="6" s="1"/>
  <c r="BH73" i="6"/>
  <c r="BI73" i="6" s="1"/>
  <c r="BH30" i="6"/>
  <c r="BI30" i="6" s="1"/>
  <c r="BH466" i="6"/>
  <c r="BI466" i="6" s="1"/>
  <c r="BH444" i="6"/>
  <c r="BI444" i="6" s="1"/>
  <c r="BH423" i="6"/>
  <c r="BI423" i="6" s="1"/>
  <c r="BH402" i="6"/>
  <c r="BI402" i="6" s="1"/>
  <c r="BH380" i="6"/>
  <c r="BI380" i="6" s="1"/>
  <c r="BH359" i="6"/>
  <c r="BI359" i="6" s="1"/>
  <c r="BH337" i="6"/>
  <c r="BI337" i="6" s="1"/>
  <c r="BH307" i="6"/>
  <c r="BI307" i="6" s="1"/>
  <c r="BH279" i="6"/>
  <c r="BI279" i="6" s="1"/>
  <c r="BH251" i="6"/>
  <c r="BI251" i="6" s="1"/>
  <c r="BH210" i="6"/>
  <c r="BI210" i="6" s="1"/>
  <c r="BH167" i="6"/>
  <c r="BI167" i="6" s="1"/>
  <c r="BH125" i="6"/>
  <c r="BI125" i="6" s="1"/>
  <c r="BH82" i="6"/>
  <c r="BI82" i="6" s="1"/>
  <c r="BH39" i="6"/>
  <c r="BI39" i="6" s="1"/>
  <c r="BH246" i="6"/>
  <c r="BI246" i="6" s="1"/>
  <c r="BH225" i="6"/>
  <c r="BI225" i="6" s="1"/>
  <c r="BH203" i="6"/>
  <c r="BI203" i="6" s="1"/>
  <c r="BH182" i="6"/>
  <c r="BI182" i="6" s="1"/>
  <c r="BH161" i="6"/>
  <c r="BI161" i="6" s="1"/>
  <c r="BH139" i="6"/>
  <c r="BI139" i="6" s="1"/>
  <c r="BH118" i="6"/>
  <c r="BI118" i="6" s="1"/>
  <c r="BH97" i="6"/>
  <c r="BI97" i="6" s="1"/>
  <c r="BH75" i="6"/>
  <c r="BI75" i="6" s="1"/>
  <c r="BH54" i="6"/>
  <c r="BI54" i="6" s="1"/>
  <c r="BH33" i="6"/>
  <c r="BI33" i="6" s="1"/>
  <c r="BH11" i="6"/>
  <c r="BI11" i="6" s="1"/>
  <c r="BH465" i="6"/>
  <c r="BI465" i="6" s="1"/>
  <c r="BH449" i="6"/>
  <c r="BI449" i="6" s="1"/>
  <c r="BH433" i="6"/>
  <c r="BI433" i="6" s="1"/>
  <c r="BH417" i="6"/>
  <c r="BI417" i="6" s="1"/>
  <c r="BH401" i="6"/>
  <c r="BI401" i="6" s="1"/>
  <c r="BH385" i="6"/>
  <c r="BI385" i="6" s="1"/>
  <c r="BH369" i="6"/>
  <c r="BI369" i="6" s="1"/>
  <c r="BH353" i="6"/>
  <c r="BI353" i="6" s="1"/>
  <c r="BH335" i="6"/>
  <c r="BI335" i="6" s="1"/>
  <c r="BH314" i="6"/>
  <c r="BI314" i="6" s="1"/>
  <c r="BH293" i="6"/>
  <c r="BI293" i="6" s="1"/>
  <c r="BH271" i="6"/>
  <c r="BI271" i="6" s="1"/>
  <c r="BH250" i="6"/>
  <c r="BI250" i="6" s="1"/>
  <c r="BH229" i="6"/>
  <c r="BI229" i="6" s="1"/>
  <c r="BH207" i="6"/>
  <c r="BI207" i="6" s="1"/>
  <c r="BH186" i="6"/>
  <c r="BI186" i="6" s="1"/>
  <c r="BH165" i="6"/>
  <c r="BI165" i="6" s="1"/>
  <c r="BH143" i="6"/>
  <c r="BI143" i="6" s="1"/>
  <c r="BH122" i="6"/>
  <c r="BI122" i="6" s="1"/>
  <c r="BH101" i="6"/>
  <c r="BI101" i="6" s="1"/>
  <c r="BH79" i="6"/>
  <c r="BI79" i="6" s="1"/>
  <c r="BH58" i="6"/>
  <c r="BI58" i="6" s="1"/>
  <c r="BH37" i="6"/>
  <c r="BI37" i="6" s="1"/>
  <c r="BH15" i="6"/>
  <c r="BI15" i="6" s="1"/>
  <c r="BH336" i="6"/>
  <c r="BI336" i="6" s="1"/>
  <c r="BH320" i="6"/>
  <c r="BI320" i="6" s="1"/>
  <c r="BH304" i="6"/>
  <c r="BI304" i="6" s="1"/>
  <c r="BH288" i="6"/>
  <c r="BI288" i="6" s="1"/>
  <c r="BH272" i="6"/>
  <c r="BI272" i="6" s="1"/>
  <c r="BH256" i="6"/>
  <c r="BI256" i="6" s="1"/>
  <c r="BH240" i="6"/>
  <c r="BI240" i="6" s="1"/>
  <c r="BH224" i="6"/>
  <c r="BI224" i="6" s="1"/>
  <c r="BH208" i="6"/>
  <c r="BI208" i="6" s="1"/>
  <c r="BH192" i="6"/>
  <c r="BI192" i="6" s="1"/>
  <c r="BH176" i="6"/>
  <c r="BI176" i="6" s="1"/>
  <c r="BH160" i="6"/>
  <c r="BI160" i="6" s="1"/>
  <c r="BH144" i="6"/>
  <c r="BI144" i="6" s="1"/>
  <c r="BH128" i="6"/>
  <c r="BI128" i="6" s="1"/>
  <c r="BH112" i="6"/>
  <c r="BI112" i="6" s="1"/>
  <c r="BH96" i="6"/>
  <c r="BI96" i="6" s="1"/>
  <c r="BH80" i="6"/>
  <c r="BI80" i="6" s="1"/>
  <c r="BH64" i="6"/>
  <c r="BI64" i="6" s="1"/>
  <c r="BH48" i="6"/>
  <c r="BI48" i="6" s="1"/>
  <c r="BH32" i="6"/>
  <c r="BI32" i="6" s="1"/>
  <c r="BH16" i="6"/>
  <c r="BI16" i="6" s="1"/>
  <c r="BH459" i="6"/>
  <c r="BI459" i="6" s="1"/>
  <c r="BH438" i="6"/>
  <c r="BI438" i="6" s="1"/>
  <c r="BH416" i="6"/>
  <c r="BI416" i="6" s="1"/>
  <c r="BH395" i="6"/>
  <c r="BI395" i="6" s="1"/>
  <c r="BH374" i="6"/>
  <c r="BI374" i="6" s="1"/>
  <c r="BH352" i="6"/>
  <c r="BI352" i="6" s="1"/>
  <c r="BH327" i="6"/>
  <c r="BI327" i="6" s="1"/>
  <c r="BH299" i="6"/>
  <c r="BI299" i="6" s="1"/>
  <c r="BH270" i="6"/>
  <c r="BI270" i="6" s="1"/>
  <c r="BH238" i="6"/>
  <c r="BI238" i="6" s="1"/>
  <c r="BH195" i="6"/>
  <c r="BI195" i="6" s="1"/>
  <c r="BH153" i="6"/>
  <c r="BI153" i="6" s="1"/>
  <c r="BH110" i="6"/>
  <c r="BI110" i="6" s="1"/>
  <c r="BH67" i="6"/>
  <c r="BI67" i="6" s="1"/>
  <c r="BH25" i="6"/>
  <c r="BI25" i="6" s="1"/>
  <c r="BH458" i="6"/>
  <c r="BI458" i="6" s="1"/>
  <c r="BH436" i="6"/>
  <c r="BI436" i="6" s="1"/>
  <c r="BH415" i="6"/>
  <c r="BI415" i="6" s="1"/>
  <c r="BH394" i="6"/>
  <c r="BI394" i="6" s="1"/>
  <c r="BH372" i="6"/>
  <c r="BI372" i="6" s="1"/>
  <c r="BH351" i="6"/>
  <c r="BI351" i="6" s="1"/>
  <c r="BH326" i="6"/>
  <c r="BI326" i="6" s="1"/>
  <c r="BH297" i="6"/>
  <c r="BI297" i="6" s="1"/>
  <c r="BH269" i="6"/>
  <c r="BI269" i="6" s="1"/>
  <c r="BH237" i="6"/>
  <c r="BI237" i="6" s="1"/>
  <c r="BH194" i="6"/>
  <c r="BI194" i="6" s="1"/>
  <c r="BH151" i="6"/>
  <c r="BI151" i="6" s="1"/>
  <c r="BH109" i="6"/>
  <c r="BI109" i="6" s="1"/>
  <c r="BH66" i="6"/>
  <c r="BI66" i="6" s="1"/>
  <c r="BH13" i="6"/>
  <c r="BI13" i="6" s="1"/>
  <c r="BH456" i="6"/>
  <c r="BI456" i="6" s="1"/>
  <c r="BH435" i="6"/>
  <c r="BI435" i="6" s="1"/>
  <c r="BH63" i="6"/>
  <c r="BI63" i="6" s="1"/>
  <c r="BH42" i="6"/>
  <c r="BI42" i="6" s="1"/>
  <c r="BH21" i="6"/>
  <c r="BI21" i="6" s="1"/>
  <c r="BH340" i="6"/>
  <c r="BI340" i="6" s="1"/>
  <c r="BH324" i="6"/>
  <c r="BI324" i="6" s="1"/>
  <c r="BH308" i="6"/>
  <c r="BI308" i="6" s="1"/>
  <c r="BH292" i="6"/>
  <c r="BI292" i="6" s="1"/>
  <c r="BH276" i="6"/>
  <c r="BI276" i="6" s="1"/>
  <c r="BH260" i="6"/>
  <c r="BI260" i="6" s="1"/>
  <c r="BH244" i="6"/>
  <c r="BI244" i="6" s="1"/>
  <c r="BH228" i="6"/>
  <c r="BI228" i="6" s="1"/>
  <c r="BH212" i="6"/>
  <c r="BI212" i="6" s="1"/>
  <c r="BH196" i="6"/>
  <c r="BI196" i="6" s="1"/>
  <c r="BH180" i="6"/>
  <c r="BI180" i="6" s="1"/>
  <c r="BH164" i="6"/>
  <c r="BI164" i="6" s="1"/>
  <c r="BH148" i="6"/>
  <c r="BI148" i="6" s="1"/>
  <c r="BH132" i="6"/>
  <c r="BI132" i="6" s="1"/>
  <c r="BH116" i="6"/>
  <c r="BI116" i="6" s="1"/>
  <c r="BH100" i="6"/>
  <c r="BI100" i="6" s="1"/>
  <c r="BH84" i="6"/>
  <c r="BI84" i="6" s="1"/>
  <c r="BH68" i="6"/>
  <c r="BI68" i="6" s="1"/>
  <c r="BH52" i="6"/>
  <c r="BI52" i="6" s="1"/>
  <c r="BH36" i="6"/>
  <c r="BI36" i="6" s="1"/>
  <c r="BH20" i="6"/>
  <c r="BI20" i="6" s="1"/>
  <c r="BH4" i="6"/>
  <c r="BI4" i="6" s="1"/>
  <c r="BH414" i="6"/>
  <c r="BI414" i="6" s="1"/>
  <c r="BH392" i="6"/>
  <c r="BI392" i="6" s="1"/>
  <c r="BH371" i="6"/>
  <c r="BI371" i="6" s="1"/>
  <c r="BH350" i="6"/>
  <c r="BI350" i="6" s="1"/>
  <c r="BH323" i="6"/>
  <c r="BI323" i="6" s="1"/>
  <c r="BH295" i="6"/>
  <c r="BI295" i="6" s="1"/>
  <c r="BH267" i="6"/>
  <c r="BI267" i="6" s="1"/>
  <c r="BH233" i="6"/>
  <c r="BI233" i="6" s="1"/>
  <c r="BH190" i="6"/>
  <c r="BI190" i="6" s="1"/>
  <c r="BH147" i="6"/>
  <c r="BI147" i="6" s="1"/>
  <c r="BH105" i="6"/>
  <c r="BI105" i="6" s="1"/>
  <c r="BH62" i="6"/>
  <c r="BI62" i="6" s="1"/>
  <c r="BH19" i="6"/>
  <c r="BI19" i="6" s="1"/>
  <c r="BH460" i="6"/>
  <c r="BI460" i="6" s="1"/>
  <c r="BH439" i="6"/>
  <c r="BI439" i="6" s="1"/>
  <c r="BH418" i="6"/>
  <c r="BI418" i="6" s="1"/>
  <c r="BH396" i="6"/>
  <c r="BI396" i="6" s="1"/>
  <c r="BH375" i="6"/>
  <c r="BI375" i="6" s="1"/>
  <c r="BH354" i="6"/>
  <c r="BI354" i="6" s="1"/>
  <c r="BH329" i="6"/>
  <c r="BI329" i="6" s="1"/>
  <c r="BH301" i="6"/>
  <c r="BI301" i="6" s="1"/>
  <c r="BH273" i="6"/>
  <c r="BI273" i="6" s="1"/>
  <c r="BH242" i="6"/>
  <c r="BI242" i="6" s="1"/>
  <c r="BH199" i="6"/>
  <c r="BI199" i="6" s="1"/>
  <c r="BH157" i="6"/>
  <c r="BI157" i="6" s="1"/>
  <c r="BH114" i="6"/>
  <c r="BI114" i="6" s="1"/>
  <c r="BH71" i="6"/>
  <c r="BI71" i="6" s="1"/>
  <c r="BH29" i="6"/>
  <c r="BI29" i="6" s="1"/>
  <c r="BH241" i="6"/>
  <c r="BI241" i="6" s="1"/>
  <c r="BH219" i="6"/>
  <c r="BI219" i="6" s="1"/>
  <c r="BH198" i="6"/>
  <c r="BI198" i="6" s="1"/>
  <c r="BH177" i="6"/>
  <c r="BI177" i="6" s="1"/>
  <c r="BH155" i="6"/>
  <c r="BI155" i="6" s="1"/>
  <c r="BH134" i="6"/>
  <c r="BI134" i="6" s="1"/>
  <c r="BH113" i="6"/>
  <c r="BI113" i="6" s="1"/>
  <c r="BH91" i="6"/>
  <c r="BI91" i="6" s="1"/>
  <c r="BH70" i="6"/>
  <c r="BI70" i="6" s="1"/>
  <c r="BH49" i="6"/>
  <c r="BI49" i="6" s="1"/>
  <c r="BH27" i="6"/>
  <c r="BI27" i="6" s="1"/>
  <c r="BH6" i="6"/>
  <c r="BI6" i="6" s="1"/>
  <c r="BH461" i="6"/>
  <c r="BI461" i="6" s="1"/>
  <c r="BH445" i="6"/>
  <c r="BI445" i="6" s="1"/>
  <c r="BH429" i="6"/>
  <c r="BI429" i="6" s="1"/>
  <c r="BH413" i="6"/>
  <c r="BI413" i="6" s="1"/>
  <c r="BH397" i="6"/>
  <c r="BI397" i="6" s="1"/>
  <c r="BH381" i="6"/>
  <c r="BI381" i="6" s="1"/>
  <c r="BH365" i="6"/>
  <c r="BI365" i="6" s="1"/>
  <c r="BH349" i="6"/>
  <c r="BI349" i="6" s="1"/>
  <c r="BH330" i="6"/>
  <c r="BI330" i="6" s="1"/>
  <c r="BH309" i="6"/>
  <c r="BI309" i="6" s="1"/>
  <c r="BH287" i="6"/>
  <c r="BI287" i="6" s="1"/>
  <c r="BH266" i="6"/>
  <c r="BI266" i="6" s="1"/>
  <c r="BH245" i="6"/>
  <c r="BI245" i="6" s="1"/>
  <c r="BH223" i="6"/>
  <c r="BI223" i="6" s="1"/>
  <c r="BH202" i="6"/>
  <c r="BI202" i="6" s="1"/>
  <c r="BH181" i="6"/>
  <c r="BI181" i="6" s="1"/>
  <c r="BH159" i="6"/>
  <c r="BI159" i="6" s="1"/>
  <c r="BH138" i="6"/>
  <c r="BI138" i="6" s="1"/>
  <c r="BH117" i="6"/>
  <c r="BI117" i="6" s="1"/>
  <c r="BH95" i="6"/>
  <c r="BI95" i="6" s="1"/>
  <c r="BH74" i="6"/>
  <c r="BI74" i="6" s="1"/>
  <c r="BH53" i="6"/>
  <c r="BI53" i="6" s="1"/>
  <c r="BH31" i="6"/>
  <c r="BI31" i="6" s="1"/>
  <c r="BH10" i="6"/>
  <c r="BI10" i="6" s="1"/>
  <c r="BH332" i="6"/>
  <c r="BI332" i="6" s="1"/>
  <c r="BH316" i="6"/>
  <c r="BI316" i="6" s="1"/>
  <c r="BH300" i="6"/>
  <c r="BI300" i="6" s="1"/>
  <c r="BH284" i="6"/>
  <c r="BI284" i="6" s="1"/>
  <c r="BH268" i="6"/>
  <c r="BI268" i="6" s="1"/>
  <c r="BH252" i="6"/>
  <c r="BI252" i="6" s="1"/>
  <c r="BH236" i="6"/>
  <c r="BI236" i="6" s="1"/>
  <c r="BH220" i="6"/>
  <c r="BI220" i="6" s="1"/>
  <c r="BH204" i="6"/>
  <c r="BI204" i="6" s="1"/>
  <c r="BH188" i="6"/>
  <c r="BI188" i="6" s="1"/>
  <c r="BH172" i="6"/>
  <c r="BI172" i="6" s="1"/>
  <c r="BH156" i="6"/>
  <c r="BI156" i="6" s="1"/>
  <c r="BH140" i="6"/>
  <c r="BI140" i="6" s="1"/>
  <c r="BH124" i="6"/>
  <c r="BI124" i="6" s="1"/>
  <c r="BH108" i="6"/>
  <c r="BI108" i="6" s="1"/>
  <c r="BH92" i="6"/>
  <c r="BI92" i="6" s="1"/>
  <c r="BH76" i="6"/>
  <c r="BI76" i="6" s="1"/>
  <c r="BH60" i="6"/>
  <c r="BI60" i="6" s="1"/>
  <c r="BH44" i="6"/>
  <c r="BI44" i="6" s="1"/>
  <c r="BH28" i="6"/>
  <c r="BI28" i="6" s="1"/>
  <c r="BH12" i="6"/>
  <c r="BI12" i="6" s="1"/>
  <c r="BH23" i="6"/>
  <c r="BI23" i="6" s="1"/>
  <c r="BJ3" i="6"/>
  <c r="BJ449" i="6" l="1"/>
  <c r="BJ139" i="6"/>
  <c r="BJ380" i="6"/>
  <c r="BJ89" i="6"/>
  <c r="BJ25" i="6"/>
  <c r="BJ465" i="6"/>
  <c r="BJ11" i="6"/>
  <c r="BJ39" i="6"/>
  <c r="BJ436" i="6"/>
  <c r="BJ444" i="6"/>
  <c r="BJ376" i="6"/>
  <c r="BJ40" i="6"/>
  <c r="BJ104" i="6"/>
  <c r="BJ168" i="6"/>
  <c r="BJ232" i="6"/>
  <c r="BJ296" i="6"/>
  <c r="BJ26" i="6"/>
  <c r="BJ111" i="6"/>
  <c r="BJ197" i="6"/>
  <c r="BJ282" i="6"/>
  <c r="BJ361" i="6"/>
  <c r="BJ425" i="6"/>
  <c r="BJ22" i="6"/>
  <c r="BJ107" i="6"/>
  <c r="BJ193" i="6"/>
  <c r="BJ61" i="6"/>
  <c r="BJ231" i="6"/>
  <c r="BJ348" i="6"/>
  <c r="BJ434" i="6"/>
  <c r="BJ94" i="6"/>
  <c r="BJ259" i="6"/>
  <c r="BJ366" i="6"/>
  <c r="BJ28" i="6"/>
  <c r="BJ92" i="6"/>
  <c r="BJ156" i="6"/>
  <c r="BJ220" i="6"/>
  <c r="BJ284" i="6"/>
  <c r="BJ10" i="6"/>
  <c r="BJ52" i="6"/>
  <c r="BJ116" i="6"/>
  <c r="BJ180" i="6"/>
  <c r="BJ244" i="6"/>
  <c r="BJ308" i="6"/>
  <c r="BJ42" i="6"/>
  <c r="BJ127" i="6"/>
  <c r="BJ213" i="6"/>
  <c r="BJ298" i="6"/>
  <c r="BJ373" i="6"/>
  <c r="BJ53" i="6"/>
  <c r="BJ138" i="6"/>
  <c r="BJ223" i="6"/>
  <c r="BJ309" i="6"/>
  <c r="BJ381" i="6"/>
  <c r="BJ445" i="6"/>
  <c r="BJ49" i="6"/>
  <c r="BJ134" i="6"/>
  <c r="BJ219" i="6"/>
  <c r="BJ114" i="6"/>
  <c r="BJ273" i="6"/>
  <c r="BJ375" i="6"/>
  <c r="BJ460" i="6"/>
  <c r="BJ147" i="6"/>
  <c r="BJ295" i="6"/>
  <c r="BJ392" i="6"/>
  <c r="BJ13" i="6"/>
  <c r="BJ183" i="6"/>
  <c r="BJ318" i="6"/>
  <c r="BJ410" i="6"/>
  <c r="BJ57" i="6"/>
  <c r="BJ421" i="6"/>
  <c r="BJ17" i="6"/>
  <c r="BJ102" i="6"/>
  <c r="BJ187" i="6"/>
  <c r="BJ50" i="6"/>
  <c r="BJ221" i="6"/>
  <c r="BJ343" i="6"/>
  <c r="BJ428" i="6"/>
  <c r="BJ83" i="6"/>
  <c r="BJ253" i="6"/>
  <c r="BJ360" i="6"/>
  <c r="BJ446" i="6"/>
  <c r="BJ119" i="6"/>
  <c r="BJ472" i="6"/>
  <c r="BJ173" i="6"/>
  <c r="BJ311" i="6"/>
  <c r="BJ404" i="6"/>
  <c r="BJ46" i="6"/>
  <c r="BJ217" i="6"/>
  <c r="BJ342" i="6"/>
  <c r="BJ427" i="6"/>
  <c r="BJ291" i="6"/>
  <c r="BJ390" i="6"/>
  <c r="BJ16" i="6"/>
  <c r="BJ80" i="6"/>
  <c r="BJ144" i="6"/>
  <c r="BJ208" i="6"/>
  <c r="BJ272" i="6"/>
  <c r="BJ336" i="6"/>
  <c r="BJ79" i="6"/>
  <c r="BJ165" i="6"/>
  <c r="BJ250" i="6"/>
  <c r="BJ335" i="6"/>
  <c r="BJ401" i="6"/>
  <c r="BJ247" i="6"/>
  <c r="BJ356" i="6"/>
  <c r="BJ442" i="6"/>
  <c r="BJ121" i="6"/>
  <c r="BJ278" i="6"/>
  <c r="BJ379" i="6"/>
  <c r="BJ464" i="6"/>
  <c r="BJ109" i="6"/>
  <c r="BJ269" i="6"/>
  <c r="BJ372" i="6"/>
  <c r="BJ458" i="6"/>
  <c r="BJ153" i="6"/>
  <c r="BJ299" i="6"/>
  <c r="BJ395" i="6"/>
  <c r="BJ54" i="6"/>
  <c r="BJ225" i="6"/>
  <c r="BJ279" i="6"/>
  <c r="BJ466" i="6"/>
  <c r="BJ158" i="6"/>
  <c r="BJ302" i="6"/>
  <c r="BJ398" i="6"/>
  <c r="BJ56" i="6"/>
  <c r="BJ120" i="6"/>
  <c r="BJ184" i="6"/>
  <c r="BJ248" i="6"/>
  <c r="BJ312" i="6"/>
  <c r="BJ47" i="6"/>
  <c r="BJ133" i="6"/>
  <c r="BJ218" i="6"/>
  <c r="BJ303" i="6"/>
  <c r="BJ377" i="6"/>
  <c r="BJ441" i="6"/>
  <c r="BJ43" i="6"/>
  <c r="BJ129" i="6"/>
  <c r="BJ214" i="6"/>
  <c r="BJ103" i="6"/>
  <c r="BJ265" i="6"/>
  <c r="BJ370" i="6"/>
  <c r="BJ455" i="6"/>
  <c r="BJ137" i="6"/>
  <c r="BJ289" i="6"/>
  <c r="BJ387" i="6"/>
  <c r="BJ44" i="6"/>
  <c r="BJ108" i="6"/>
  <c r="BJ172" i="6"/>
  <c r="BJ236" i="6"/>
  <c r="BJ300" i="6"/>
  <c r="BJ4" i="6"/>
  <c r="BJ68" i="6"/>
  <c r="BJ132" i="6"/>
  <c r="BJ196" i="6"/>
  <c r="BJ260" i="6"/>
  <c r="BJ324" i="6"/>
  <c r="BJ63" i="6"/>
  <c r="BJ149" i="6"/>
  <c r="BJ234" i="6"/>
  <c r="BJ319" i="6"/>
  <c r="BJ389" i="6"/>
  <c r="BJ74" i="6"/>
  <c r="BJ159" i="6"/>
  <c r="BJ245" i="6"/>
  <c r="BJ330" i="6"/>
  <c r="BJ397" i="6"/>
  <c r="BJ461" i="6"/>
  <c r="BJ70" i="6"/>
  <c r="BJ155" i="6"/>
  <c r="BJ241" i="6"/>
  <c r="BJ157" i="6"/>
  <c r="BJ301" i="6"/>
  <c r="BJ396" i="6"/>
  <c r="BJ19" i="6"/>
  <c r="BJ190" i="6"/>
  <c r="BJ323" i="6"/>
  <c r="BJ414" i="6"/>
  <c r="BJ55" i="6"/>
  <c r="BJ226" i="6"/>
  <c r="BJ346" i="6"/>
  <c r="BJ431" i="6"/>
  <c r="BJ99" i="6"/>
  <c r="BJ437" i="6"/>
  <c r="BJ38" i="6"/>
  <c r="BJ123" i="6"/>
  <c r="BJ209" i="6"/>
  <c r="BJ93" i="6"/>
  <c r="BJ258" i="6"/>
  <c r="BJ364" i="6"/>
  <c r="BJ450" i="6"/>
  <c r="BJ126" i="6"/>
  <c r="BJ281" i="6"/>
  <c r="BJ382" i="6"/>
  <c r="BJ467" i="6"/>
  <c r="BJ162" i="6"/>
  <c r="BJ45" i="6"/>
  <c r="BJ215" i="6"/>
  <c r="BJ339" i="6"/>
  <c r="BJ426" i="6"/>
  <c r="BJ257" i="6"/>
  <c r="BJ363" i="6"/>
  <c r="BJ448" i="6"/>
  <c r="BJ321" i="6"/>
  <c r="BJ411" i="6"/>
  <c r="BJ32" i="6"/>
  <c r="BJ96" i="6"/>
  <c r="BJ160" i="6"/>
  <c r="BJ224" i="6"/>
  <c r="BJ288" i="6"/>
  <c r="BJ15" i="6"/>
  <c r="BJ101" i="6"/>
  <c r="BJ186" i="6"/>
  <c r="BJ271" i="6"/>
  <c r="BJ353" i="6"/>
  <c r="BJ417" i="6"/>
  <c r="BJ275" i="6"/>
  <c r="BJ378" i="6"/>
  <c r="BJ463" i="6"/>
  <c r="BJ163" i="6"/>
  <c r="BJ306" i="6"/>
  <c r="BJ400" i="6"/>
  <c r="BJ227" i="6"/>
  <c r="BJ151" i="6"/>
  <c r="BJ297" i="6"/>
  <c r="BJ394" i="6"/>
  <c r="BJ195" i="6"/>
  <c r="BJ327" i="6"/>
  <c r="BJ416" i="6"/>
  <c r="BJ161" i="6"/>
  <c r="BJ246" i="6"/>
  <c r="BJ167" i="6"/>
  <c r="BJ402" i="6"/>
  <c r="BJ30" i="6"/>
  <c r="BJ419" i="6"/>
  <c r="BJ331" i="6"/>
  <c r="BJ125" i="6"/>
  <c r="BJ201" i="6"/>
  <c r="BJ8" i="6"/>
  <c r="BJ72" i="6"/>
  <c r="BJ136" i="6"/>
  <c r="BJ200" i="6"/>
  <c r="BJ264" i="6"/>
  <c r="BJ328" i="6"/>
  <c r="BJ69" i="6"/>
  <c r="BJ154" i="6"/>
  <c r="BJ239" i="6"/>
  <c r="BJ325" i="6"/>
  <c r="BJ393" i="6"/>
  <c r="BJ457" i="6"/>
  <c r="BJ65" i="6"/>
  <c r="BJ150" i="6"/>
  <c r="BJ235" i="6"/>
  <c r="BJ146" i="6"/>
  <c r="BJ294" i="6"/>
  <c r="BJ391" i="6"/>
  <c r="BJ9" i="6"/>
  <c r="BJ179" i="6"/>
  <c r="BJ317" i="6"/>
  <c r="BJ408" i="6"/>
  <c r="BJ60" i="6"/>
  <c r="BJ124" i="6"/>
  <c r="BJ188" i="6"/>
  <c r="BJ252" i="6"/>
  <c r="BJ316" i="6"/>
  <c r="BJ20" i="6"/>
  <c r="BJ84" i="6"/>
  <c r="BJ148" i="6"/>
  <c r="BJ212" i="6"/>
  <c r="BJ276" i="6"/>
  <c r="BJ340" i="6"/>
  <c r="BJ85" i="6"/>
  <c r="BJ170" i="6"/>
  <c r="BJ255" i="6"/>
  <c r="BJ341" i="6"/>
  <c r="BJ405" i="6"/>
  <c r="BJ95" i="6"/>
  <c r="BJ181" i="6"/>
  <c r="BJ266" i="6"/>
  <c r="BJ349" i="6"/>
  <c r="BJ413" i="6"/>
  <c r="BJ6" i="6"/>
  <c r="BJ91" i="6"/>
  <c r="BJ177" i="6"/>
  <c r="BJ29" i="6"/>
  <c r="BJ199" i="6"/>
  <c r="BJ329" i="6"/>
  <c r="BJ418" i="6"/>
  <c r="BJ62" i="6"/>
  <c r="BJ233" i="6"/>
  <c r="BJ350" i="6"/>
  <c r="BJ435" i="6"/>
  <c r="BJ98" i="6"/>
  <c r="BJ262" i="6"/>
  <c r="BJ367" i="6"/>
  <c r="BJ452" i="6"/>
  <c r="BJ142" i="6"/>
  <c r="BJ453" i="6"/>
  <c r="BJ59" i="6"/>
  <c r="BJ145" i="6"/>
  <c r="BJ230" i="6"/>
  <c r="BJ135" i="6"/>
  <c r="BJ286" i="6"/>
  <c r="BJ386" i="6"/>
  <c r="BJ471" i="6"/>
  <c r="BJ169" i="6"/>
  <c r="BJ310" i="6"/>
  <c r="BJ403" i="6"/>
  <c r="BJ34" i="6"/>
  <c r="BJ430" i="6"/>
  <c r="BJ87" i="6"/>
  <c r="BJ254" i="6"/>
  <c r="BJ362" i="6"/>
  <c r="BJ447" i="6"/>
  <c r="BJ131" i="6"/>
  <c r="BJ285" i="6"/>
  <c r="BJ384" i="6"/>
  <c r="BJ470" i="6"/>
  <c r="BJ347" i="6"/>
  <c r="BJ432" i="6"/>
  <c r="BJ48" i="6"/>
  <c r="BJ112" i="6"/>
  <c r="BJ176" i="6"/>
  <c r="BJ240" i="6"/>
  <c r="BJ304" i="6"/>
  <c r="BJ37" i="6"/>
  <c r="BJ122" i="6"/>
  <c r="BJ207" i="6"/>
  <c r="BJ293" i="6"/>
  <c r="BJ369" i="6"/>
  <c r="BJ433" i="6"/>
  <c r="BJ305" i="6"/>
  <c r="BJ399" i="6"/>
  <c r="BJ35" i="6"/>
  <c r="BJ206" i="6"/>
  <c r="BJ334" i="6"/>
  <c r="BJ422" i="6"/>
  <c r="BJ23" i="6"/>
  <c r="BJ194" i="6"/>
  <c r="BJ326" i="6"/>
  <c r="BJ415" i="6"/>
  <c r="BJ67" i="6"/>
  <c r="BJ238" i="6"/>
  <c r="BJ352" i="6"/>
  <c r="BJ438" i="6"/>
  <c r="BJ97" i="6"/>
  <c r="BJ182" i="6"/>
  <c r="BJ210" i="6"/>
  <c r="BJ337" i="6"/>
  <c r="BJ423" i="6"/>
  <c r="BJ73" i="6"/>
  <c r="BJ243" i="6"/>
  <c r="BJ355" i="6"/>
  <c r="BJ440" i="6"/>
  <c r="BJ75" i="6"/>
  <c r="BJ307" i="6"/>
  <c r="BJ24" i="6"/>
  <c r="BJ88" i="6"/>
  <c r="BJ152" i="6"/>
  <c r="BJ216" i="6"/>
  <c r="BJ280" i="6"/>
  <c r="BJ5" i="6"/>
  <c r="BJ90" i="6"/>
  <c r="BJ175" i="6"/>
  <c r="BJ261" i="6"/>
  <c r="BJ345" i="6"/>
  <c r="BJ409" i="6"/>
  <c r="BJ86" i="6"/>
  <c r="BJ171" i="6"/>
  <c r="BJ18" i="6"/>
  <c r="BJ189" i="6"/>
  <c r="BJ322" i="6"/>
  <c r="BJ412" i="6"/>
  <c r="BJ51" i="6"/>
  <c r="BJ222" i="6"/>
  <c r="BJ344" i="6"/>
  <c r="BJ12" i="6"/>
  <c r="BJ76" i="6"/>
  <c r="BJ140" i="6"/>
  <c r="BJ204" i="6"/>
  <c r="BJ268" i="6"/>
  <c r="BJ332" i="6"/>
  <c r="BJ36" i="6"/>
  <c r="BJ100" i="6"/>
  <c r="BJ164" i="6"/>
  <c r="BJ228" i="6"/>
  <c r="BJ292" i="6"/>
  <c r="BJ21" i="6"/>
  <c r="BJ106" i="6"/>
  <c r="BJ191" i="6"/>
  <c r="BJ277" i="6"/>
  <c r="BJ357" i="6"/>
  <c r="BJ31" i="6"/>
  <c r="BJ117" i="6"/>
  <c r="BJ202" i="6"/>
  <c r="BJ287" i="6"/>
  <c r="BJ365" i="6"/>
  <c r="BJ429" i="6"/>
  <c r="BJ27" i="6"/>
  <c r="BJ113" i="6"/>
  <c r="BJ198" i="6"/>
  <c r="BJ71" i="6"/>
  <c r="BJ242" i="6"/>
  <c r="BJ354" i="6"/>
  <c r="BJ439" i="6"/>
  <c r="BJ105" i="6"/>
  <c r="BJ267" i="6"/>
  <c r="BJ371" i="6"/>
  <c r="BJ456" i="6"/>
  <c r="BJ141" i="6"/>
  <c r="BJ290" i="6"/>
  <c r="BJ388" i="6"/>
  <c r="BJ14" i="6"/>
  <c r="BJ185" i="6"/>
  <c r="BJ469" i="6"/>
  <c r="BJ81" i="6"/>
  <c r="BJ166" i="6"/>
  <c r="BJ7" i="6"/>
  <c r="BJ178" i="6"/>
  <c r="BJ315" i="6"/>
  <c r="BJ407" i="6"/>
  <c r="BJ41" i="6"/>
  <c r="BJ211" i="6"/>
  <c r="BJ338" i="6"/>
  <c r="BJ424" i="6"/>
  <c r="BJ77" i="6"/>
  <c r="BJ451" i="6"/>
  <c r="BJ130" i="6"/>
  <c r="BJ283" i="6"/>
  <c r="BJ383" i="6"/>
  <c r="BJ468" i="6"/>
  <c r="BJ174" i="6"/>
  <c r="BJ313" i="6"/>
  <c r="BJ406" i="6"/>
  <c r="BJ263" i="6"/>
  <c r="BJ368" i="6"/>
  <c r="BJ454" i="6"/>
  <c r="BJ64" i="6"/>
  <c r="BJ128" i="6"/>
  <c r="BJ192" i="6"/>
  <c r="BJ256" i="6"/>
  <c r="BJ320" i="6"/>
  <c r="BJ58" i="6"/>
  <c r="BJ143" i="6"/>
  <c r="BJ229" i="6"/>
  <c r="BJ314" i="6"/>
  <c r="BJ385" i="6"/>
  <c r="BJ205" i="6"/>
  <c r="BJ333" i="6"/>
  <c r="BJ420" i="6"/>
  <c r="BJ78" i="6"/>
  <c r="BJ249" i="6"/>
  <c r="BJ358" i="6"/>
  <c r="BJ443" i="6"/>
  <c r="BJ66" i="6"/>
  <c r="BJ237" i="6"/>
  <c r="BJ351" i="6"/>
  <c r="BJ110" i="6"/>
  <c r="BJ270" i="6"/>
  <c r="BJ374" i="6"/>
  <c r="BJ459" i="6"/>
  <c r="BJ33" i="6"/>
  <c r="BJ118" i="6"/>
  <c r="BJ203" i="6"/>
  <c r="BJ82" i="6"/>
  <c r="BJ251" i="6"/>
  <c r="BJ359" i="6"/>
  <c r="BJ115" i="6"/>
  <c r="BJ274" i="6"/>
  <c r="BJ462" i="6"/>
  <c r="BK397" i="6" l="1"/>
  <c r="BK120" i="6"/>
  <c r="BL29" i="6"/>
  <c r="BK70" i="6"/>
  <c r="BK170" i="6"/>
  <c r="BL471" i="6"/>
  <c r="BL280" i="6"/>
  <c r="BL91" i="6"/>
  <c r="BK25" i="6"/>
  <c r="BK385" i="6"/>
  <c r="BL373" i="6"/>
  <c r="BL447" i="6"/>
  <c r="BK353" i="6"/>
  <c r="BL301" i="6"/>
  <c r="BL351" i="6"/>
  <c r="BL44" i="6"/>
  <c r="BK383" i="6"/>
  <c r="BK240" i="6"/>
  <c r="BL342" i="6"/>
  <c r="BL460" i="6"/>
  <c r="BL133" i="6"/>
  <c r="BL127" i="6"/>
  <c r="BK274" i="6"/>
  <c r="BK159" i="6"/>
  <c r="BL466" i="6"/>
  <c r="BK371" i="6"/>
  <c r="BL56" i="6"/>
  <c r="BL206" i="6"/>
  <c r="BL2" i="6"/>
  <c r="BK102" i="6"/>
  <c r="BL399" i="6"/>
  <c r="BL188" i="6"/>
  <c r="BK177" i="6"/>
  <c r="BK17" i="6"/>
  <c r="BL394" i="6"/>
  <c r="BK424" i="6"/>
  <c r="BL227" i="6"/>
  <c r="BL165" i="6"/>
  <c r="BK258" i="6"/>
  <c r="BK372" i="6"/>
  <c r="BK453" i="6"/>
  <c r="BL467" i="6"/>
  <c r="BK396" i="6"/>
  <c r="BL201" i="6"/>
  <c r="BL218" i="6"/>
  <c r="BK262" i="6"/>
  <c r="BK278" i="6"/>
  <c r="BL472" i="6"/>
  <c r="BK263" i="6"/>
  <c r="BL146" i="6"/>
  <c r="BK168" i="6"/>
  <c r="BK407" i="6"/>
  <c r="BK254" i="6"/>
  <c r="BK468" i="6"/>
  <c r="BL27" i="6"/>
  <c r="BL142" i="6"/>
  <c r="BK77" i="6"/>
  <c r="BK196" i="6"/>
  <c r="BK224" i="6"/>
  <c r="BK11" i="6"/>
  <c r="BK74" i="6"/>
  <c r="BL391" i="6"/>
  <c r="BK38" i="6"/>
  <c r="BK266" i="6"/>
  <c r="BK319" i="6"/>
  <c r="BL34" i="6"/>
  <c r="BL114" i="6"/>
  <c r="BL85" i="6"/>
  <c r="BL404" i="6"/>
  <c r="BL59" i="6"/>
  <c r="BK287" i="6"/>
  <c r="BK144" i="6"/>
  <c r="BK328" i="6"/>
  <c r="BL411" i="6"/>
  <c r="BK279" i="6"/>
  <c r="BL13" i="6"/>
  <c r="BK410" i="6"/>
  <c r="BL455" i="6"/>
  <c r="BL357" i="6"/>
  <c r="BL258" i="6"/>
  <c r="BK400" i="6"/>
  <c r="BL275" i="6"/>
  <c r="BL313" i="6"/>
  <c r="BK118" i="6"/>
  <c r="BK158" i="6"/>
  <c r="BK107" i="6"/>
  <c r="BK345" i="6"/>
  <c r="BK423" i="6"/>
  <c r="BL49" i="6"/>
  <c r="BK100" i="6"/>
  <c r="BK425" i="6"/>
  <c r="BL363" i="6"/>
  <c r="BL307" i="6"/>
  <c r="BK181" i="6"/>
  <c r="BL254" i="6"/>
  <c r="BK382" i="6"/>
  <c r="BL138" i="6"/>
  <c r="BL24" i="6"/>
  <c r="BK88" i="6"/>
  <c r="BK114" i="6"/>
  <c r="BL210" i="6"/>
  <c r="BL192" i="6"/>
  <c r="BL367" i="6"/>
  <c r="BL264" i="6"/>
  <c r="BK175" i="6"/>
  <c r="BL7" i="6"/>
  <c r="BL123" i="6"/>
  <c r="BL178" i="6"/>
  <c r="BK334" i="6"/>
  <c r="BL376" i="6"/>
  <c r="BK202" i="6"/>
  <c r="BK261" i="6"/>
  <c r="BK215" i="6"/>
  <c r="BK418" i="6"/>
  <c r="BL408" i="6"/>
  <c r="BK316" i="6"/>
  <c r="BL233" i="6"/>
  <c r="BL303" i="6"/>
  <c r="BL273" i="6"/>
  <c r="BL302" i="6"/>
  <c r="BL222" i="6"/>
  <c r="BK245" i="6"/>
  <c r="BK311" i="6"/>
  <c r="BL66" i="6"/>
  <c r="BK31" i="6"/>
  <c r="BK205" i="6"/>
  <c r="BK270" i="6"/>
  <c r="BL174" i="6"/>
  <c r="BK199" i="6"/>
  <c r="BL420" i="6"/>
  <c r="BK52" i="6"/>
  <c r="BK45" i="6"/>
  <c r="BL279" i="6"/>
  <c r="BK326" i="6"/>
  <c r="BL136" i="6"/>
  <c r="BK295" i="6"/>
  <c r="BK435" i="6"/>
  <c r="BL242" i="6"/>
  <c r="BK271" i="6"/>
  <c r="BK139" i="6"/>
  <c r="BL108" i="6"/>
  <c r="BK62" i="6"/>
  <c r="BL260" i="6"/>
  <c r="BK83" i="6"/>
  <c r="BL79" i="6"/>
  <c r="BL319" i="6"/>
  <c r="BL388" i="6"/>
  <c r="BK160" i="6"/>
  <c r="BK147" i="6"/>
  <c r="BL368" i="6"/>
  <c r="BL202" i="6"/>
  <c r="BK223" i="6"/>
  <c r="BK58" i="6"/>
  <c r="BL424" i="6"/>
  <c r="BL321" i="6"/>
  <c r="BL225" i="6"/>
  <c r="BL46" i="6"/>
  <c r="BK151" i="6"/>
  <c r="BK211" i="6"/>
  <c r="BL248" i="6"/>
  <c r="BL120" i="6"/>
  <c r="BK391" i="6"/>
  <c r="BM391" i="6" s="1"/>
  <c r="BN391" i="6" s="1"/>
  <c r="BO391" i="6" s="1"/>
  <c r="BK373" i="6"/>
  <c r="BK34" i="6"/>
  <c r="BK162" i="6"/>
  <c r="BK301" i="6"/>
  <c r="BM301" i="6" s="1"/>
  <c r="BN301" i="6" s="1"/>
  <c r="BO301" i="6" s="1"/>
  <c r="BK352" i="6"/>
  <c r="BL331" i="6"/>
  <c r="BL392" i="6"/>
  <c r="BK442" i="6"/>
  <c r="BL163" i="6"/>
  <c r="BK113" i="6"/>
  <c r="BL454" i="6"/>
  <c r="BL265" i="6"/>
  <c r="BK333" i="6"/>
  <c r="BL353" i="6"/>
  <c r="BK64" i="6"/>
  <c r="BK126" i="6"/>
  <c r="BK94" i="6"/>
  <c r="BL76" i="6"/>
  <c r="BL110" i="6"/>
  <c r="BL348" i="6"/>
  <c r="BL15" i="6"/>
  <c r="BL112" i="6"/>
  <c r="BL249" i="6"/>
  <c r="BL115" i="6"/>
  <c r="BK10" i="6"/>
  <c r="BK381" i="6"/>
  <c r="BK409" i="6"/>
  <c r="BL378" i="6"/>
  <c r="BL299" i="6"/>
  <c r="BL160" i="6"/>
  <c r="BK294" i="6"/>
  <c r="BK156" i="6"/>
  <c r="BK16" i="6"/>
  <c r="BK348" i="6"/>
  <c r="BK79" i="6"/>
  <c r="BM79" i="6" s="1"/>
  <c r="BN79" i="6" s="1"/>
  <c r="BO79" i="6" s="1"/>
  <c r="BK236" i="6"/>
  <c r="BL175" i="6"/>
  <c r="BK4" i="6"/>
  <c r="BL427" i="6"/>
  <c r="BL96" i="6"/>
  <c r="BK19" i="6"/>
  <c r="BL184" i="6"/>
  <c r="BL338" i="6"/>
  <c r="BL31" i="6"/>
  <c r="BK96" i="6"/>
  <c r="BL463" i="6"/>
  <c r="BK299" i="6"/>
  <c r="BK56" i="6"/>
  <c r="BL70" i="6"/>
  <c r="BL470" i="6"/>
  <c r="BK13" i="6"/>
  <c r="BL196" i="6"/>
  <c r="BK376" i="6"/>
  <c r="BK432" i="6"/>
  <c r="BL255" i="6"/>
  <c r="BK422" i="6"/>
  <c r="BK169" i="6"/>
  <c r="BL397" i="6"/>
  <c r="BL250" i="6"/>
  <c r="BK284" i="6"/>
  <c r="BL402" i="6"/>
  <c r="BK206" i="6"/>
  <c r="BM206" i="6" s="1"/>
  <c r="BN206" i="6" s="1"/>
  <c r="BO206" i="6" s="1"/>
  <c r="BL283" i="6"/>
  <c r="BK213" i="6"/>
  <c r="BL8" i="6"/>
  <c r="BK5" i="6"/>
  <c r="BK416" i="6"/>
  <c r="BL339" i="6"/>
  <c r="BL246" i="6"/>
  <c r="BL143" i="6"/>
  <c r="BL282" i="6"/>
  <c r="BL185" i="6"/>
  <c r="BL296" i="6"/>
  <c r="BL380" i="6"/>
  <c r="BK386" i="6"/>
  <c r="BL101" i="6"/>
  <c r="BK197" i="6"/>
  <c r="BK154" i="6"/>
  <c r="BL262" i="6"/>
  <c r="BK63" i="6"/>
  <c r="BK188" i="6"/>
  <c r="BL134" i="6"/>
  <c r="BL323" i="6"/>
  <c r="BK180" i="6"/>
  <c r="BK370" i="6"/>
  <c r="BL63" i="6"/>
  <c r="BL247" i="6"/>
  <c r="BK124" i="6"/>
  <c r="BK176" i="6"/>
  <c r="BK148" i="6"/>
  <c r="BK138" i="6"/>
  <c r="BM138" i="6" s="1"/>
  <c r="BN138" i="6" s="1"/>
  <c r="BO138" i="6" s="1"/>
  <c r="BL253" i="6"/>
  <c r="BK119" i="6"/>
  <c r="BL289" i="6"/>
  <c r="BL384" i="6"/>
  <c r="BK44" i="6"/>
  <c r="BK7" i="6"/>
  <c r="BL449" i="6"/>
  <c r="BK135" i="6"/>
  <c r="BK341" i="6"/>
  <c r="BK143" i="6"/>
  <c r="BL442" i="6"/>
  <c r="BK247" i="6"/>
  <c r="BK449" i="6"/>
  <c r="BK428" i="6"/>
  <c r="BL355" i="6"/>
  <c r="BK377" i="6"/>
  <c r="BL314" i="6"/>
  <c r="BK182" i="6"/>
  <c r="BL4" i="6"/>
  <c r="BL121" i="6"/>
  <c r="BK237" i="6"/>
  <c r="BK470" i="6"/>
  <c r="BK123" i="6"/>
  <c r="BK15" i="6"/>
  <c r="BL340" i="6"/>
  <c r="BK434" i="6"/>
  <c r="BK445" i="6"/>
  <c r="BL328" i="6"/>
  <c r="BL461" i="6"/>
  <c r="BK227" i="6"/>
  <c r="BK439" i="6"/>
  <c r="BK121" i="6"/>
  <c r="BM121" i="6" s="1"/>
  <c r="BN121" i="6" s="1"/>
  <c r="BO121" i="6" s="1"/>
  <c r="BL81" i="6"/>
  <c r="BL324" i="6"/>
  <c r="BL281" i="6"/>
  <c r="BL99" i="6"/>
  <c r="BK273" i="6"/>
  <c r="BK437" i="6"/>
  <c r="BL124" i="6"/>
  <c r="BL315" i="6"/>
  <c r="BK82" i="6"/>
  <c r="BL453" i="6"/>
  <c r="BL390" i="6"/>
  <c r="BL211" i="6"/>
  <c r="BK431" i="6"/>
  <c r="BL423" i="6"/>
  <c r="BK127" i="6"/>
  <c r="BK250" i="6"/>
  <c r="BL95" i="6"/>
  <c r="BL109" i="6"/>
  <c r="BK289" i="6"/>
  <c r="BM289" i="6" s="1"/>
  <c r="BN289" i="6" s="1"/>
  <c r="BO289" i="6" s="1"/>
  <c r="BL191" i="6"/>
  <c r="BL181" i="6"/>
  <c r="BK344" i="6"/>
  <c r="BL150" i="6"/>
  <c r="BK304" i="6"/>
  <c r="BK440" i="6"/>
  <c r="BL130" i="6"/>
  <c r="BL415" i="6"/>
  <c r="BL349" i="6"/>
  <c r="BL232" i="6"/>
  <c r="BK355" i="6"/>
  <c r="BK459" i="6"/>
  <c r="BK172" i="6"/>
  <c r="BL157" i="6"/>
  <c r="BL413" i="6"/>
  <c r="BL159" i="6"/>
  <c r="BK29" i="6"/>
  <c r="BK298" i="6"/>
  <c r="BL243" i="6"/>
  <c r="BK191" i="6"/>
  <c r="BL54" i="6"/>
  <c r="BK37" i="6"/>
  <c r="BK389" i="6"/>
  <c r="BK307" i="6"/>
  <c r="BK380" i="6"/>
  <c r="BK451" i="6"/>
  <c r="BL448" i="6"/>
  <c r="BL220" i="6"/>
  <c r="BL245" i="6"/>
  <c r="BK30" i="6"/>
  <c r="BL276" i="6"/>
  <c r="BK130" i="6"/>
  <c r="BK387" i="6"/>
  <c r="BK87" i="6"/>
  <c r="BL173" i="6"/>
  <c r="BL429" i="6"/>
  <c r="BL180" i="6"/>
  <c r="BK51" i="6"/>
  <c r="BK314" i="6"/>
  <c r="BL272" i="6"/>
  <c r="BK212" i="6"/>
  <c r="BL82" i="6"/>
  <c r="BK65" i="6"/>
  <c r="BK411" i="6"/>
  <c r="BK264" i="6"/>
  <c r="BK337" i="6"/>
  <c r="BL14" i="6"/>
  <c r="BL332" i="6"/>
  <c r="BL5" i="6"/>
  <c r="BL261" i="6"/>
  <c r="BK46" i="6"/>
  <c r="BL298" i="6"/>
  <c r="BK146" i="6"/>
  <c r="BK402" i="6"/>
  <c r="BL428" i="6"/>
  <c r="BK329" i="6"/>
  <c r="BL238" i="6"/>
  <c r="BK187" i="6"/>
  <c r="BL48" i="6"/>
  <c r="BK12" i="6"/>
  <c r="BK103" i="6"/>
  <c r="BL50" i="6"/>
  <c r="BL304" i="6"/>
  <c r="BL89" i="6"/>
  <c r="BL345" i="6"/>
  <c r="BL68" i="6"/>
  <c r="BL410" i="6"/>
  <c r="BK230" i="6"/>
  <c r="BL337" i="6"/>
  <c r="BK374" i="6"/>
  <c r="BK292" i="6"/>
  <c r="BK149" i="6"/>
  <c r="BK104" i="6"/>
  <c r="BL336" i="6"/>
  <c r="BL235" i="6"/>
  <c r="BL77" i="6"/>
  <c r="BL52" i="6"/>
  <c r="BK218" i="6"/>
  <c r="BK84" i="6"/>
  <c r="BL366" i="6"/>
  <c r="BL176" i="6"/>
  <c r="BL326" i="6"/>
  <c r="BK129" i="6"/>
  <c r="BL421" i="6"/>
  <c r="BK40" i="6"/>
  <c r="BL30" i="6"/>
  <c r="BK137" i="6"/>
  <c r="BL152" i="6"/>
  <c r="BK229" i="6"/>
  <c r="BK413" i="6"/>
  <c r="BK231" i="6"/>
  <c r="BK161" i="6"/>
  <c r="BL360" i="6"/>
  <c r="BL297" i="6"/>
  <c r="BL111" i="6"/>
  <c r="BK86" i="6"/>
  <c r="BL145" i="6"/>
  <c r="BL38" i="6"/>
  <c r="BL131" i="6"/>
  <c r="BK360" i="6"/>
  <c r="BL450" i="6"/>
  <c r="BL374" i="6"/>
  <c r="BL183" i="6"/>
  <c r="BL311" i="6"/>
  <c r="BL369" i="6"/>
  <c r="BK390" i="6"/>
  <c r="BK313" i="6"/>
  <c r="BK171" i="6"/>
  <c r="BK55" i="6"/>
  <c r="BK280" i="6"/>
  <c r="BL207" i="6"/>
  <c r="BL251" i="6"/>
  <c r="BL60" i="6"/>
  <c r="BK395" i="6"/>
  <c r="BK369" i="6"/>
  <c r="BL33" i="6"/>
  <c r="BK174" i="6"/>
  <c r="BK343" i="6"/>
  <c r="BL381" i="6"/>
  <c r="BL458" i="6"/>
  <c r="BL187" i="6"/>
  <c r="BK472" i="6"/>
  <c r="BK347" i="6"/>
  <c r="BK454" i="6"/>
  <c r="BK173" i="6"/>
  <c r="BL213" i="6"/>
  <c r="BL234" i="6"/>
  <c r="BK290" i="6"/>
  <c r="BL371" i="6"/>
  <c r="BK393" i="6"/>
  <c r="BK23" i="6"/>
  <c r="BK469" i="6"/>
  <c r="BL312" i="6"/>
  <c r="BK141" i="6"/>
  <c r="BK225" i="6"/>
  <c r="BK269" i="6"/>
  <c r="BK54" i="6"/>
  <c r="BM54" i="6" s="1"/>
  <c r="BN54" i="6" s="1"/>
  <c r="BO54" i="6" s="1"/>
  <c r="BL443" i="6"/>
  <c r="BL62" i="6"/>
  <c r="BK458" i="6"/>
  <c r="BM458" i="6" s="1"/>
  <c r="BN458" i="6" s="1"/>
  <c r="BO458" i="6" s="1"/>
  <c r="BL426" i="6"/>
  <c r="BK95" i="6"/>
  <c r="BM95" i="6" s="1"/>
  <c r="BN95" i="6" s="1"/>
  <c r="BO95" i="6" s="1"/>
  <c r="BK165" i="6"/>
  <c r="BK359" i="6"/>
  <c r="BK108" i="6"/>
  <c r="BL425" i="6"/>
  <c r="BL431" i="6"/>
  <c r="BL209" i="6"/>
  <c r="BK21" i="6"/>
  <c r="BK405" i="6"/>
  <c r="BK36" i="6"/>
  <c r="BK203" i="6"/>
  <c r="BK327" i="6"/>
  <c r="BL433" i="6"/>
  <c r="BL294" i="6"/>
  <c r="BL387" i="6"/>
  <c r="BL412" i="6"/>
  <c r="BL65" i="6"/>
  <c r="BK398" i="6"/>
  <c r="BL118" i="6"/>
  <c r="BK455" i="6"/>
  <c r="BK109" i="6"/>
  <c r="BK238" i="6"/>
  <c r="BL141" i="6"/>
  <c r="BK282" i="6"/>
  <c r="BM282" i="6" s="1"/>
  <c r="BN282" i="6" s="1"/>
  <c r="BO282" i="6" s="1"/>
  <c r="BK9" i="6"/>
  <c r="BK467" i="6"/>
  <c r="BK14" i="6"/>
  <c r="BL400" i="6"/>
  <c r="BK293" i="6"/>
  <c r="BK408" i="6"/>
  <c r="BM408" i="6" s="1"/>
  <c r="BN408" i="6" s="1"/>
  <c r="BO408" i="6" s="1"/>
  <c r="BK18" i="6"/>
  <c r="BK419" i="6"/>
  <c r="BK207" i="6"/>
  <c r="BK92" i="6"/>
  <c r="BK331" i="6"/>
  <c r="BM331" i="6" s="1"/>
  <c r="BN331" i="6" s="1"/>
  <c r="BO331" i="6" s="1"/>
  <c r="BK60" i="6"/>
  <c r="BL464" i="6"/>
  <c r="BL83" i="6"/>
  <c r="BL257" i="6"/>
  <c r="BK239" i="6"/>
  <c r="BK183" i="6"/>
  <c r="BL372" i="6"/>
  <c r="BK404" i="6"/>
  <c r="BL284" i="6"/>
  <c r="BL149" i="6"/>
  <c r="BK242" i="6"/>
  <c r="BK351" i="6"/>
  <c r="BK421" i="6"/>
  <c r="BL240" i="6"/>
  <c r="BL105" i="6"/>
  <c r="BL26" i="6"/>
  <c r="BK134" i="6"/>
  <c r="BL228" i="6"/>
  <c r="BK420" i="6"/>
  <c r="BK189" i="6"/>
  <c r="BK388" i="6"/>
  <c r="BL12" i="6"/>
  <c r="BK312" i="6"/>
  <c r="BL356" i="6"/>
  <c r="BK185" i="6"/>
  <c r="BK256" i="6"/>
  <c r="BK220" i="6"/>
  <c r="BK42" i="6"/>
  <c r="BL364" i="6"/>
  <c r="BL459" i="6"/>
  <c r="BL270" i="6"/>
  <c r="BL161" i="6"/>
  <c r="BK414" i="6"/>
  <c r="BK285" i="6"/>
  <c r="BL47" i="6"/>
  <c r="BL18" i="6"/>
  <c r="BK253" i="6"/>
  <c r="BK228" i="6"/>
  <c r="BL36" i="6"/>
  <c r="BK72" i="6"/>
  <c r="BK322" i="6"/>
  <c r="BL169" i="6"/>
  <c r="BL75" i="6"/>
  <c r="BK365" i="6"/>
  <c r="BL396" i="6"/>
  <c r="BL155" i="6"/>
  <c r="BK110" i="6"/>
  <c r="BK91" i="6"/>
  <c r="BM91" i="6" s="1"/>
  <c r="BN91" i="6" s="1"/>
  <c r="BO91" i="6" s="1"/>
  <c r="BL267" i="6"/>
  <c r="BL263" i="6"/>
  <c r="BL316" i="6"/>
  <c r="BK281" i="6"/>
  <c r="BL300" i="6"/>
  <c r="BL456" i="6"/>
  <c r="BL393" i="6"/>
  <c r="BK363" i="6"/>
  <c r="BM363" i="6" s="1"/>
  <c r="BN363" i="6" s="1"/>
  <c r="BO363" i="6" s="1"/>
  <c r="BL305" i="6"/>
  <c r="BL78" i="6"/>
  <c r="BK125" i="6"/>
  <c r="BK350" i="6"/>
  <c r="BK221" i="6"/>
  <c r="BK315" i="6"/>
  <c r="BK67" i="6"/>
  <c r="BK303" i="6"/>
  <c r="BK49" i="6"/>
  <c r="BM49" i="6" s="1"/>
  <c r="BN49" i="6" s="1"/>
  <c r="BO49" i="6" s="1"/>
  <c r="BL194" i="6"/>
  <c r="BK417" i="6"/>
  <c r="BK243" i="6"/>
  <c r="BK142" i="6"/>
  <c r="BK318" i="6"/>
  <c r="BK184" i="6"/>
  <c r="BK131" i="6"/>
  <c r="BL156" i="6"/>
  <c r="BL221" i="6"/>
  <c r="BK6" i="6"/>
  <c r="BL244" i="6"/>
  <c r="BK106" i="6"/>
  <c r="BK362" i="6"/>
  <c r="BL358" i="6"/>
  <c r="BK276" i="6"/>
  <c r="BL167" i="6"/>
  <c r="BK133" i="6"/>
  <c r="BK461" i="6"/>
  <c r="BK136" i="6"/>
  <c r="BK209" i="6"/>
  <c r="BL434" i="6"/>
  <c r="BK268" i="6"/>
  <c r="BL53" i="6"/>
  <c r="BL309" i="6"/>
  <c r="BL20" i="6"/>
  <c r="BL362" i="6"/>
  <c r="BK163" i="6"/>
  <c r="BK33" i="6"/>
  <c r="BL278" i="6"/>
  <c r="BL237" i="6"/>
  <c r="BK22" i="6"/>
  <c r="BL266" i="6"/>
  <c r="BK122" i="6"/>
  <c r="BK378" i="6"/>
  <c r="BL386" i="6"/>
  <c r="BK297" i="6"/>
  <c r="BL195" i="6"/>
  <c r="BK155" i="6"/>
  <c r="BL6" i="6"/>
  <c r="BK93" i="6"/>
  <c r="BK167" i="6"/>
  <c r="BL318" i="6"/>
  <c r="BK97" i="6"/>
  <c r="BL69" i="6"/>
  <c r="BL325" i="6"/>
  <c r="BL42" i="6"/>
  <c r="BL383" i="6"/>
  <c r="BK210" i="6"/>
  <c r="BM210" i="6" s="1"/>
  <c r="BN210" i="6" s="1"/>
  <c r="BO210" i="6" s="1"/>
  <c r="BL87" i="6"/>
  <c r="BK71" i="6"/>
  <c r="BK415" i="6"/>
  <c r="BL352" i="6"/>
  <c r="BK272" i="6"/>
  <c r="BL162" i="6"/>
  <c r="BL256" i="6"/>
  <c r="BL354" i="6"/>
  <c r="BL107" i="6"/>
  <c r="BM107" i="6" s="1"/>
  <c r="BN107" i="6" s="1"/>
  <c r="BO107" i="6" s="1"/>
  <c r="BK193" i="6"/>
  <c r="BL153" i="6"/>
  <c r="BL409" i="6"/>
  <c r="BL154" i="6"/>
  <c r="BK24" i="6"/>
  <c r="BL204" i="6"/>
  <c r="BL58" i="6"/>
  <c r="BL151" i="6"/>
  <c r="BK452" i="6"/>
  <c r="BK320" i="6"/>
  <c r="BL64" i="6"/>
  <c r="BK89" i="6"/>
  <c r="BK216" i="6"/>
  <c r="BL205" i="6"/>
  <c r="BL223" i="6"/>
  <c r="BK346" i="6"/>
  <c r="BK255" i="6"/>
  <c r="BK112" i="6"/>
  <c r="BM112" i="6" s="1"/>
  <c r="BN112" i="6" s="1"/>
  <c r="BO112" i="6" s="1"/>
  <c r="BK179" i="6"/>
  <c r="BK76" i="6"/>
  <c r="BL37" i="6"/>
  <c r="BK78" i="6"/>
  <c r="BK178" i="6"/>
  <c r="BL172" i="6"/>
  <c r="BK265" i="6"/>
  <c r="BL295" i="6"/>
  <c r="BK336" i="6"/>
  <c r="BK157" i="6"/>
  <c r="BM157" i="6" s="1"/>
  <c r="BN157" i="6" s="1"/>
  <c r="BO157" i="6" s="1"/>
  <c r="BK309" i="6"/>
  <c r="BL51" i="6"/>
  <c r="BL40" i="6"/>
  <c r="BK128" i="6"/>
  <c r="BL168" i="6"/>
  <c r="BL9" i="6"/>
  <c r="BL21" i="6"/>
  <c r="BL164" i="6"/>
  <c r="BL3" i="6"/>
  <c r="BL236" i="6"/>
  <c r="BL435" i="6"/>
  <c r="BL92" i="6"/>
  <c r="BK429" i="6"/>
  <c r="BL140" i="6"/>
  <c r="BK59" i="6"/>
  <c r="BK323" i="6"/>
  <c r="BK330" i="6"/>
  <c r="BK443" i="6"/>
  <c r="BL122" i="6"/>
  <c r="BL126" i="6"/>
  <c r="BK198" i="6"/>
  <c r="BK448" i="6"/>
  <c r="BL446" i="6"/>
  <c r="BK232" i="6"/>
  <c r="BM232" i="6" s="1"/>
  <c r="BN232" i="6" s="1"/>
  <c r="BO232" i="6" s="1"/>
  <c r="BL462" i="6"/>
  <c r="BK342" i="6"/>
  <c r="BK47" i="6"/>
  <c r="BK257" i="6"/>
  <c r="BL43" i="6"/>
  <c r="BK465" i="6"/>
  <c r="BK153" i="6"/>
  <c r="BL129" i="6"/>
  <c r="BK317" i="6"/>
  <c r="BK399" i="6"/>
  <c r="BK26" i="6"/>
  <c r="BL327" i="6"/>
  <c r="BL203" i="6"/>
  <c r="BL55" i="6"/>
  <c r="BL208" i="6"/>
  <c r="BK246" i="6"/>
  <c r="BL441" i="6"/>
  <c r="BL291" i="6"/>
  <c r="BK447" i="6"/>
  <c r="BK116" i="6"/>
  <c r="BL148" i="6"/>
  <c r="BL382" i="6"/>
  <c r="BK57" i="6"/>
  <c r="BL317" i="6"/>
  <c r="BK444" i="6"/>
  <c r="BK321" i="6"/>
  <c r="BL274" i="6"/>
  <c r="BL241" i="6"/>
  <c r="BL259" i="6"/>
  <c r="BK277" i="6"/>
  <c r="BL401" i="6"/>
  <c r="BL361" i="6"/>
  <c r="BL199" i="6"/>
  <c r="BK201" i="6"/>
  <c r="BL229" i="6"/>
  <c r="BK349" i="6"/>
  <c r="BL215" i="6"/>
  <c r="BL347" i="6"/>
  <c r="BL417" i="6"/>
  <c r="BK27" i="6"/>
  <c r="BK324" i="6"/>
  <c r="BM324" i="6" s="1"/>
  <c r="BN324" i="6" s="1"/>
  <c r="BO324" i="6" s="1"/>
  <c r="BL292" i="6"/>
  <c r="BK305" i="6"/>
  <c r="BL103" i="6"/>
  <c r="BK190" i="6"/>
  <c r="BL198" i="6"/>
  <c r="BL430" i="6"/>
  <c r="BK430" i="6"/>
  <c r="BK335" i="6"/>
  <c r="BK195" i="6"/>
  <c r="BL132" i="6"/>
  <c r="BL73" i="6"/>
  <c r="BK69" i="6"/>
  <c r="BL67" i="6"/>
  <c r="BK226" i="6"/>
  <c r="BK375" i="6"/>
  <c r="BL252" i="6"/>
  <c r="BL308" i="6"/>
  <c r="BL57" i="6"/>
  <c r="BL403" i="6"/>
  <c r="BK401" i="6"/>
  <c r="BK379" i="6"/>
  <c r="BL182" i="6"/>
  <c r="BK43" i="6"/>
  <c r="BK194" i="6"/>
  <c r="BL469" i="6"/>
  <c r="BL375" i="6"/>
  <c r="BK41" i="6"/>
  <c r="BL451" i="6"/>
  <c r="BL414" i="6"/>
  <c r="BL287" i="6"/>
  <c r="BL125" i="6"/>
  <c r="BK291" i="6"/>
  <c r="BK450" i="6"/>
  <c r="BK296" i="6"/>
  <c r="BL288" i="6"/>
  <c r="BL23" i="6"/>
  <c r="BL193" i="6"/>
  <c r="BK462" i="6"/>
  <c r="BL444" i="6"/>
  <c r="BL407" i="6"/>
  <c r="BL100" i="6"/>
  <c r="BK241" i="6"/>
  <c r="BK288" i="6"/>
  <c r="BK217" i="6"/>
  <c r="BK441" i="6"/>
  <c r="BK164" i="6"/>
  <c r="BL465" i="6"/>
  <c r="BL452" i="6"/>
  <c r="BL457" i="6"/>
  <c r="BL41" i="6"/>
  <c r="BK48" i="6"/>
  <c r="BL370" i="6"/>
  <c r="BL438" i="6"/>
  <c r="BL343" i="6"/>
  <c r="BL170" i="6"/>
  <c r="BK427" i="6"/>
  <c r="BK283" i="6"/>
  <c r="BL102" i="6"/>
  <c r="BL333" i="6"/>
  <c r="BK260" i="6"/>
  <c r="BM260" i="6" s="1"/>
  <c r="BN260" i="6" s="1"/>
  <c r="BO260" i="6" s="1"/>
  <c r="BK2" i="6"/>
  <c r="BL379" i="6"/>
  <c r="BL432" i="6"/>
  <c r="BL239" i="6"/>
  <c r="BL217" i="6"/>
  <c r="BK152" i="6"/>
  <c r="BK438" i="6"/>
  <c r="BK357" i="6"/>
  <c r="BM357" i="6" s="1"/>
  <c r="BN357" i="6" s="1"/>
  <c r="BO357" i="6" s="1"/>
  <c r="BL11" i="6"/>
  <c r="BL200" i="6"/>
  <c r="BL468" i="6"/>
  <c r="BL389" i="6"/>
  <c r="BK300" i="6"/>
  <c r="BL439" i="6"/>
  <c r="BL119" i="6"/>
  <c r="BL310" i="6"/>
  <c r="BK28" i="6"/>
  <c r="BK186" i="6"/>
  <c r="BL10" i="6"/>
  <c r="BL45" i="6"/>
  <c r="BK20" i="6"/>
  <c r="BL106" i="6"/>
  <c r="BL117" i="6"/>
  <c r="BK204" i="6"/>
  <c r="BL398" i="6"/>
  <c r="BK219" i="6"/>
  <c r="BK361" i="6"/>
  <c r="BM361" i="6" s="1"/>
  <c r="BN361" i="6" s="1"/>
  <c r="BO361" i="6" s="1"/>
  <c r="BL16" i="6"/>
  <c r="BL330" i="6"/>
  <c r="BL285" i="6"/>
  <c r="BL22" i="6"/>
  <c r="BK75" i="6"/>
  <c r="BM75" i="6" s="1"/>
  <c r="BN75" i="6" s="1"/>
  <c r="BO75" i="6" s="1"/>
  <c r="BK35" i="6"/>
  <c r="BL344" i="6"/>
  <c r="BL186" i="6"/>
  <c r="BK249" i="6"/>
  <c r="BK53" i="6"/>
  <c r="BM53" i="6" s="1"/>
  <c r="BN53" i="6" s="1"/>
  <c r="BO53" i="6" s="1"/>
  <c r="BK233" i="6"/>
  <c r="BL71" i="6"/>
  <c r="BK366" i="6"/>
  <c r="BK412" i="6"/>
  <c r="BL17" i="6"/>
  <c r="BK80" i="6"/>
  <c r="BL445" i="6"/>
  <c r="BK358" i="6"/>
  <c r="BK406" i="6"/>
  <c r="BL144" i="6"/>
  <c r="BL189" i="6"/>
  <c r="BK446" i="6"/>
  <c r="BK384" i="6"/>
  <c r="BM384" i="6" s="1"/>
  <c r="BN384" i="6" s="1"/>
  <c r="BO384" i="6" s="1"/>
  <c r="BL32" i="6"/>
  <c r="BL90" i="6"/>
  <c r="BL277" i="6"/>
  <c r="BL231" i="6"/>
  <c r="BK85" i="6"/>
  <c r="BK73" i="6"/>
  <c r="BL290" i="6"/>
  <c r="BK145" i="6"/>
  <c r="BM145" i="6" s="1"/>
  <c r="BN145" i="6" s="1"/>
  <c r="BO145" i="6" s="1"/>
  <c r="BK286" i="6"/>
  <c r="BL86" i="6"/>
  <c r="BK267" i="6"/>
  <c r="BL80" i="6"/>
  <c r="BK140" i="6"/>
  <c r="BK457" i="6"/>
  <c r="BL350" i="6"/>
  <c r="BL177" i="6"/>
  <c r="BK339" i="6"/>
  <c r="BM339" i="6" s="1"/>
  <c r="BN339" i="6" s="1"/>
  <c r="BO339" i="6" s="1"/>
  <c r="BK132" i="6"/>
  <c r="BK192" i="6"/>
  <c r="BK310" i="6"/>
  <c r="BK3" i="6"/>
  <c r="BL329" i="6"/>
  <c r="BK332" i="6"/>
  <c r="BM332" i="6" s="1"/>
  <c r="BN332" i="6" s="1"/>
  <c r="BO332" i="6" s="1"/>
  <c r="BK208" i="6"/>
  <c r="BL286" i="6"/>
  <c r="BL405" i="6"/>
  <c r="BL147" i="6"/>
  <c r="BL72" i="6"/>
  <c r="BL61" i="6"/>
  <c r="BL422" i="6"/>
  <c r="BK39" i="6"/>
  <c r="BK436" i="6"/>
  <c r="BK68" i="6"/>
  <c r="BM68" i="6" s="1"/>
  <c r="BN68" i="6" s="1"/>
  <c r="BO68" i="6" s="1"/>
  <c r="BK460" i="6"/>
  <c r="BL359" i="6"/>
  <c r="BK150" i="6"/>
  <c r="BL137" i="6"/>
  <c r="BL19" i="6"/>
  <c r="BK306" i="6"/>
  <c r="BL334" i="6"/>
  <c r="BK368" i="6"/>
  <c r="BM368" i="6" s="1"/>
  <c r="BN368" i="6" s="1"/>
  <c r="BO368" i="6" s="1"/>
  <c r="BK8" i="6"/>
  <c r="BL166" i="6"/>
  <c r="BL97" i="6"/>
  <c r="BK433" i="6"/>
  <c r="BM433" i="6" s="1"/>
  <c r="BN433" i="6" s="1"/>
  <c r="BO433" i="6" s="1"/>
  <c r="BK111" i="6"/>
  <c r="BM111" i="6" s="1"/>
  <c r="BN111" i="6" s="1"/>
  <c r="BO111" i="6" s="1"/>
  <c r="BL385" i="6"/>
  <c r="BK471" i="6"/>
  <c r="BK356" i="6"/>
  <c r="BL271" i="6"/>
  <c r="BL440" i="6"/>
  <c r="BL88" i="6"/>
  <c r="BK275" i="6"/>
  <c r="BL94" i="6"/>
  <c r="BK214" i="6"/>
  <c r="BK50" i="6"/>
  <c r="BL419" i="6"/>
  <c r="BL190" i="6"/>
  <c r="BK308" i="6"/>
  <c r="BM308" i="6" s="1"/>
  <c r="BN308" i="6" s="1"/>
  <c r="BO308" i="6" s="1"/>
  <c r="BL84" i="6"/>
  <c r="BK81" i="6"/>
  <c r="BK340" i="6"/>
  <c r="BL269" i="6"/>
  <c r="BL306" i="6"/>
  <c r="BL406" i="6"/>
  <c r="BK115" i="6"/>
  <c r="BK251" i="6"/>
  <c r="BM251" i="6" s="1"/>
  <c r="BN251" i="6" s="1"/>
  <c r="BO251" i="6" s="1"/>
  <c r="BL39" i="6"/>
  <c r="BL230" i="6"/>
  <c r="BK98" i="6"/>
  <c r="BL341" i="6"/>
  <c r="BL128" i="6"/>
  <c r="BK392" i="6"/>
  <c r="BL224" i="6"/>
  <c r="BK394" i="6"/>
  <c r="BL116" i="6"/>
  <c r="BL135" i="6"/>
  <c r="BL335" i="6"/>
  <c r="BK99" i="6"/>
  <c r="BL98" i="6"/>
  <c r="BK367" i="6"/>
  <c r="BK302" i="6"/>
  <c r="BL418" i="6"/>
  <c r="BK403" i="6"/>
  <c r="BL216" i="6"/>
  <c r="BL179" i="6"/>
  <c r="BL113" i="6"/>
  <c r="BL214" i="6"/>
  <c r="BK117" i="6"/>
  <c r="BL28" i="6"/>
  <c r="BK235" i="6"/>
  <c r="BL322" i="6"/>
  <c r="BL219" i="6"/>
  <c r="BL346" i="6"/>
  <c r="BL377" i="6"/>
  <c r="BK364" i="6"/>
  <c r="BM364" i="6" s="1"/>
  <c r="BN364" i="6" s="1"/>
  <c r="BO364" i="6" s="1"/>
  <c r="BL171" i="6"/>
  <c r="BL104" i="6"/>
  <c r="BK464" i="6"/>
  <c r="BK354" i="6"/>
  <c r="BM354" i="6" s="1"/>
  <c r="BN354" i="6" s="1"/>
  <c r="BO354" i="6" s="1"/>
  <c r="BL293" i="6"/>
  <c r="BK252" i="6"/>
  <c r="BM252" i="6" s="1"/>
  <c r="BN252" i="6" s="1"/>
  <c r="BO252" i="6" s="1"/>
  <c r="BL139" i="6"/>
  <c r="BK90" i="6"/>
  <c r="BL320" i="6"/>
  <c r="BL226" i="6"/>
  <c r="BL416" i="6"/>
  <c r="BK222" i="6"/>
  <c r="BM222" i="6" s="1"/>
  <c r="BN222" i="6" s="1"/>
  <c r="BO222" i="6" s="1"/>
  <c r="BK166" i="6"/>
  <c r="BK66" i="6"/>
  <c r="BL25" i="6"/>
  <c r="BK248" i="6"/>
  <c r="BK200" i="6"/>
  <c r="BK101" i="6"/>
  <c r="BK244" i="6"/>
  <c r="BM244" i="6" s="1"/>
  <c r="BN244" i="6" s="1"/>
  <c r="BO244" i="6" s="1"/>
  <c r="BK338" i="6"/>
  <c r="BM338" i="6" s="1"/>
  <c r="BN338" i="6" s="1"/>
  <c r="BO338" i="6" s="1"/>
  <c r="BL212" i="6"/>
  <c r="BL197" i="6"/>
  <c r="BK259" i="6"/>
  <c r="BL35" i="6"/>
  <c r="BK325" i="6"/>
  <c r="BM325" i="6" s="1"/>
  <c r="BN325" i="6" s="1"/>
  <c r="BO325" i="6" s="1"/>
  <c r="BK456" i="6"/>
  <c r="BL158" i="6"/>
  <c r="BL436" i="6"/>
  <c r="BL365" i="6"/>
  <c r="BK426" i="6"/>
  <c r="BK61" i="6"/>
  <c r="BL437" i="6"/>
  <c r="BK32" i="6"/>
  <c r="BM32" i="6" s="1"/>
  <c r="BN32" i="6" s="1"/>
  <c r="BO32" i="6" s="1"/>
  <c r="BL268" i="6"/>
  <c r="BK463" i="6"/>
  <c r="BM463" i="6" s="1"/>
  <c r="BN463" i="6" s="1"/>
  <c r="BO463" i="6" s="1"/>
  <c r="BL395" i="6"/>
  <c r="BK105" i="6"/>
  <c r="BK234" i="6"/>
  <c r="BL74" i="6"/>
  <c r="BL93" i="6"/>
  <c r="BK466" i="6"/>
  <c r="BM415" i="6" l="1"/>
  <c r="BN415" i="6" s="1"/>
  <c r="BO415" i="6" s="1"/>
  <c r="BM108" i="6"/>
  <c r="BN108" i="6" s="1"/>
  <c r="BO108" i="6" s="1"/>
  <c r="BM117" i="6"/>
  <c r="BN117" i="6" s="1"/>
  <c r="BO117" i="6" s="1"/>
  <c r="BM275" i="6"/>
  <c r="BN275" i="6" s="1"/>
  <c r="BO275" i="6" s="1"/>
  <c r="BM201" i="6"/>
  <c r="BN201" i="6" s="1"/>
  <c r="BO201" i="6" s="1"/>
  <c r="BM281" i="6"/>
  <c r="BN281" i="6" s="1"/>
  <c r="BO281" i="6" s="1"/>
  <c r="BM288" i="6"/>
  <c r="BN288" i="6" s="1"/>
  <c r="BO288" i="6" s="1"/>
  <c r="BM234" i="6"/>
  <c r="BN234" i="6" s="1"/>
  <c r="BO234" i="6" s="1"/>
  <c r="BM36" i="6"/>
  <c r="BN36" i="6" s="1"/>
  <c r="BO36" i="6" s="1"/>
  <c r="BM313" i="6"/>
  <c r="BN313" i="6" s="1"/>
  <c r="BO313" i="6" s="1"/>
  <c r="BM161" i="6"/>
  <c r="BN161" i="6" s="1"/>
  <c r="BO161" i="6" s="1"/>
  <c r="BM8" i="6"/>
  <c r="BN8" i="6" s="1"/>
  <c r="BO8" i="6" s="1"/>
  <c r="BM373" i="6"/>
  <c r="BN373" i="6" s="1"/>
  <c r="BO373" i="6" s="1"/>
  <c r="BM81" i="6"/>
  <c r="BN81" i="6" s="1"/>
  <c r="BO81" i="6" s="1"/>
  <c r="BM228" i="6"/>
  <c r="BN228" i="6" s="1"/>
  <c r="BO228" i="6" s="1"/>
  <c r="BM208" i="6"/>
  <c r="BN208" i="6" s="1"/>
  <c r="BO208" i="6" s="1"/>
  <c r="BM233" i="6"/>
  <c r="BN233" i="6" s="1"/>
  <c r="BO233" i="6" s="1"/>
  <c r="BM305" i="6"/>
  <c r="BN305" i="6" s="1"/>
  <c r="BO305" i="6" s="1"/>
  <c r="BM60" i="6"/>
  <c r="BN60" i="6" s="1"/>
  <c r="BO60" i="6" s="1"/>
  <c r="BM247" i="6"/>
  <c r="BN247" i="6" s="1"/>
  <c r="BO247" i="6" s="1"/>
  <c r="BM250" i="6"/>
  <c r="BN250" i="6" s="1"/>
  <c r="BO250" i="6" s="1"/>
  <c r="BM293" i="6"/>
  <c r="BN293" i="6" s="1"/>
  <c r="BO293" i="6" s="1"/>
  <c r="BM468" i="6"/>
  <c r="BN468" i="6" s="1"/>
  <c r="BO468" i="6" s="1"/>
  <c r="BM151" i="6"/>
  <c r="BN151" i="6" s="1"/>
  <c r="BO151" i="6" s="1"/>
  <c r="BM61" i="6"/>
  <c r="BN61" i="6" s="1"/>
  <c r="BO61" i="6" s="1"/>
  <c r="BM341" i="6"/>
  <c r="BN341" i="6" s="1"/>
  <c r="BO341" i="6" s="1"/>
  <c r="BM440" i="6"/>
  <c r="BN440" i="6" s="1"/>
  <c r="BO440" i="6" s="1"/>
  <c r="BM195" i="6"/>
  <c r="BN195" i="6" s="1"/>
  <c r="BO195" i="6" s="1"/>
  <c r="BM443" i="6"/>
  <c r="BN443" i="6" s="1"/>
  <c r="BO443" i="6" s="1"/>
  <c r="BM236" i="6"/>
  <c r="BN236" i="6" s="1"/>
  <c r="BO236" i="6" s="1"/>
  <c r="BM9" i="6"/>
  <c r="BN9" i="6" s="1"/>
  <c r="BO9" i="6" s="1"/>
  <c r="BM51" i="6"/>
  <c r="BN51" i="6" s="1"/>
  <c r="BO51" i="6" s="1"/>
  <c r="BM78" i="6"/>
  <c r="BN78" i="6" s="1"/>
  <c r="BO78" i="6" s="1"/>
  <c r="BM256" i="6"/>
  <c r="BN256" i="6" s="1"/>
  <c r="BO256" i="6" s="1"/>
  <c r="BM303" i="6"/>
  <c r="BN303" i="6" s="1"/>
  <c r="BO303" i="6" s="1"/>
  <c r="BM141" i="6"/>
  <c r="BN141" i="6" s="1"/>
  <c r="BO141" i="6" s="1"/>
  <c r="BM411" i="6"/>
  <c r="BN411" i="6" s="1"/>
  <c r="BO411" i="6" s="1"/>
  <c r="BM127" i="6"/>
  <c r="BN127" i="6" s="1"/>
  <c r="BO127" i="6" s="1"/>
  <c r="BM124" i="6"/>
  <c r="BN124" i="6" s="1"/>
  <c r="BO124" i="6" s="1"/>
  <c r="BM442" i="6"/>
  <c r="BN442" i="6" s="1"/>
  <c r="BO442" i="6" s="1"/>
  <c r="BM34" i="6"/>
  <c r="BN34" i="6" s="1"/>
  <c r="BO34" i="6" s="1"/>
  <c r="BM464" i="6"/>
  <c r="BN464" i="6" s="1"/>
  <c r="BO464" i="6" s="1"/>
  <c r="BM385" i="6"/>
  <c r="BN385" i="6" s="1"/>
  <c r="BO385" i="6" s="1"/>
  <c r="BM192" i="6"/>
  <c r="BN192" i="6" s="1"/>
  <c r="BO192" i="6" s="1"/>
  <c r="BM20" i="6"/>
  <c r="BN20" i="6" s="1"/>
  <c r="BO20" i="6" s="1"/>
  <c r="BM226" i="6"/>
  <c r="BN226" i="6" s="1"/>
  <c r="BO226" i="6" s="1"/>
  <c r="BM92" i="6"/>
  <c r="BN92" i="6" s="1"/>
  <c r="BO92" i="6" s="1"/>
  <c r="BM45" i="6"/>
  <c r="BN45" i="6" s="1"/>
  <c r="BO45" i="6" s="1"/>
  <c r="BM270" i="6"/>
  <c r="BN270" i="6" s="1"/>
  <c r="BO270" i="6" s="1"/>
  <c r="BM235" i="6"/>
  <c r="BN235" i="6" s="1"/>
  <c r="BO235" i="6" s="1"/>
  <c r="BM394" i="6"/>
  <c r="BN394" i="6" s="1"/>
  <c r="BO394" i="6" s="1"/>
  <c r="BM358" i="6"/>
  <c r="BN358" i="6" s="1"/>
  <c r="BO358" i="6" s="1"/>
  <c r="BM330" i="6"/>
  <c r="BN330" i="6" s="1"/>
  <c r="BO330" i="6" s="1"/>
  <c r="BM398" i="6"/>
  <c r="BN398" i="6" s="1"/>
  <c r="BO398" i="6" s="1"/>
  <c r="BM28" i="6"/>
  <c r="BN28" i="6" s="1"/>
  <c r="BO28" i="6" s="1"/>
  <c r="BM217" i="6"/>
  <c r="BN217" i="6" s="1"/>
  <c r="BO217" i="6" s="1"/>
  <c r="BM441" i="6"/>
  <c r="BN441" i="6" s="1"/>
  <c r="BO441" i="6" s="1"/>
  <c r="BM193" i="6"/>
  <c r="BN193" i="6" s="1"/>
  <c r="BO193" i="6" s="1"/>
  <c r="BM292" i="6"/>
  <c r="BN292" i="6" s="1"/>
  <c r="BO292" i="6" s="1"/>
  <c r="BM321" i="6"/>
  <c r="BN321" i="6" s="1"/>
  <c r="BO321" i="6" s="1"/>
  <c r="BM291" i="6"/>
  <c r="BN291" i="6" s="1"/>
  <c r="BO291" i="6" s="1"/>
  <c r="BM399" i="6"/>
  <c r="BN399" i="6" s="1"/>
  <c r="BO399" i="6" s="1"/>
  <c r="BM342" i="6"/>
  <c r="BN342" i="6" s="1"/>
  <c r="BO342" i="6" s="1"/>
  <c r="BM448" i="6"/>
  <c r="BN448" i="6" s="1"/>
  <c r="BO448" i="6" s="1"/>
  <c r="BM204" i="6"/>
  <c r="BN204" i="6" s="1"/>
  <c r="BO204" i="6" s="1"/>
  <c r="BM163" i="6"/>
  <c r="BN163" i="6" s="1"/>
  <c r="BO163" i="6" s="1"/>
  <c r="BM136" i="6"/>
  <c r="BN136" i="6" s="1"/>
  <c r="BO136" i="6" s="1"/>
  <c r="BM276" i="6"/>
  <c r="BN276" i="6" s="1"/>
  <c r="BO276" i="6" s="1"/>
  <c r="BM131" i="6"/>
  <c r="BN131" i="6" s="1"/>
  <c r="BO131" i="6" s="1"/>
  <c r="BM243" i="6"/>
  <c r="BN243" i="6" s="1"/>
  <c r="BO243" i="6" s="1"/>
  <c r="BM42" i="6"/>
  <c r="BN42" i="6" s="1"/>
  <c r="BO42" i="6" s="1"/>
  <c r="BM189" i="6"/>
  <c r="BN189" i="6" s="1"/>
  <c r="BO189" i="6" s="1"/>
  <c r="BM351" i="6"/>
  <c r="BN351" i="6" s="1"/>
  <c r="BO351" i="6" s="1"/>
  <c r="BM14" i="6"/>
  <c r="BN14" i="6" s="1"/>
  <c r="BO14" i="6" s="1"/>
  <c r="BM203" i="6"/>
  <c r="BN203" i="6" s="1"/>
  <c r="BO203" i="6" s="1"/>
  <c r="BM86" i="6"/>
  <c r="BN86" i="6" s="1"/>
  <c r="BO86" i="6" s="1"/>
  <c r="BM366" i="6"/>
  <c r="BN366" i="6" s="1"/>
  <c r="BO366" i="6" s="1"/>
  <c r="BM329" i="6"/>
  <c r="BN329" i="6" s="1"/>
  <c r="BO329" i="6" s="1"/>
  <c r="BM429" i="6"/>
  <c r="BN429" i="6" s="1"/>
  <c r="BO429" i="6" s="1"/>
  <c r="BM130" i="6"/>
  <c r="BN130" i="6" s="1"/>
  <c r="BO130" i="6" s="1"/>
  <c r="BM445" i="6"/>
  <c r="BN445" i="6" s="1"/>
  <c r="BO445" i="6" s="1"/>
  <c r="BM123" i="6"/>
  <c r="BN123" i="6" s="1"/>
  <c r="BO123" i="6" s="1"/>
  <c r="BM148" i="6"/>
  <c r="BN148" i="6" s="1"/>
  <c r="BO148" i="6" s="1"/>
  <c r="BM143" i="6"/>
  <c r="BN143" i="6" s="1"/>
  <c r="BO143" i="6" s="1"/>
  <c r="BM470" i="6"/>
  <c r="BN470" i="6" s="1"/>
  <c r="BO470" i="6" s="1"/>
  <c r="BM184" i="6"/>
  <c r="BN184" i="6" s="1"/>
  <c r="BO184" i="6" s="1"/>
  <c r="BM381" i="6"/>
  <c r="BN381" i="6" s="1"/>
  <c r="BO381" i="6" s="1"/>
  <c r="BM225" i="6"/>
  <c r="BN225" i="6" s="1"/>
  <c r="BO225" i="6" s="1"/>
  <c r="BM83" i="6"/>
  <c r="BN83" i="6" s="1"/>
  <c r="BO83" i="6" s="1"/>
  <c r="BM66" i="6"/>
  <c r="BN66" i="6" s="1"/>
  <c r="BO66" i="6" s="1"/>
  <c r="BM302" i="6"/>
  <c r="BN302" i="6" s="1"/>
  <c r="BO302" i="6" s="1"/>
  <c r="BM316" i="6"/>
  <c r="BN316" i="6" s="1"/>
  <c r="BO316" i="6" s="1"/>
  <c r="BM114" i="6"/>
  <c r="BN114" i="6" s="1"/>
  <c r="BO114" i="6" s="1"/>
  <c r="BM423" i="6"/>
  <c r="BN423" i="6" s="1"/>
  <c r="BO423" i="6" s="1"/>
  <c r="BM258" i="6"/>
  <c r="BN258" i="6" s="1"/>
  <c r="BO258" i="6" s="1"/>
  <c r="BM407" i="6"/>
  <c r="BN407" i="6" s="1"/>
  <c r="BO407" i="6" s="1"/>
  <c r="BM372" i="6"/>
  <c r="BN372" i="6" s="1"/>
  <c r="BO372" i="6" s="1"/>
  <c r="BM70" i="6"/>
  <c r="BN70" i="6" s="1"/>
  <c r="BO70" i="6" s="1"/>
  <c r="BM109" i="6"/>
  <c r="BN109" i="6" s="1"/>
  <c r="BO109" i="6" s="1"/>
  <c r="BM396" i="6"/>
  <c r="BN396" i="6" s="1"/>
  <c r="BO396" i="6" s="1"/>
  <c r="BM279" i="6"/>
  <c r="BN279" i="6" s="1"/>
  <c r="BO279" i="6" s="1"/>
  <c r="BM43" i="6"/>
  <c r="BN43" i="6" s="1"/>
  <c r="BO43" i="6" s="1"/>
  <c r="BM374" i="6"/>
  <c r="BN374" i="6" s="1"/>
  <c r="BO374" i="6" s="1"/>
  <c r="BM82" i="6"/>
  <c r="BN82" i="6" s="1"/>
  <c r="BO82" i="6" s="1"/>
  <c r="BM462" i="6"/>
  <c r="BN462" i="6" s="1"/>
  <c r="BO462" i="6" s="1"/>
  <c r="BM449" i="6"/>
  <c r="BN449" i="6" s="1"/>
  <c r="BO449" i="6" s="1"/>
  <c r="BM348" i="6"/>
  <c r="BN348" i="6" s="1"/>
  <c r="BO348" i="6" s="1"/>
  <c r="BM165" i="6"/>
  <c r="BN165" i="6" s="1"/>
  <c r="BO165" i="6" s="1"/>
  <c r="BM435" i="6"/>
  <c r="BN435" i="6" s="1"/>
  <c r="BO435" i="6" s="1"/>
  <c r="BM227" i="6"/>
  <c r="BN227" i="6" s="1"/>
  <c r="BO227" i="6" s="1"/>
  <c r="BM64" i="6"/>
  <c r="BN64" i="6" s="1"/>
  <c r="BO64" i="6" s="1"/>
  <c r="BM93" i="6"/>
  <c r="BN93" i="6" s="1"/>
  <c r="BO93" i="6" s="1"/>
  <c r="BM106" i="6"/>
  <c r="BN106" i="6" s="1"/>
  <c r="BO106" i="6" s="1"/>
  <c r="BM229" i="6"/>
  <c r="BN229" i="6" s="1"/>
  <c r="BO229" i="6" s="1"/>
  <c r="BM267" i="6"/>
  <c r="BN267" i="6" s="1"/>
  <c r="BO267" i="6" s="1"/>
  <c r="BM412" i="6"/>
  <c r="BN412" i="6" s="1"/>
  <c r="BO412" i="6" s="1"/>
  <c r="BM35" i="6"/>
  <c r="BN35" i="6" s="1"/>
  <c r="BO35" i="6" s="1"/>
  <c r="BM379" i="6"/>
  <c r="BN379" i="6" s="1"/>
  <c r="BO379" i="6" s="1"/>
  <c r="BM383" i="6"/>
  <c r="BN383" i="6" s="1"/>
  <c r="BO383" i="6" s="1"/>
  <c r="BM72" i="6"/>
  <c r="BN72" i="6" s="1"/>
  <c r="BO72" i="6" s="1"/>
  <c r="BM26" i="6"/>
  <c r="BN26" i="6" s="1"/>
  <c r="BO26" i="6" s="1"/>
  <c r="BM454" i="6"/>
  <c r="BN454" i="6" s="1"/>
  <c r="BO454" i="6" s="1"/>
  <c r="BM307" i="6"/>
  <c r="BN307" i="6" s="1"/>
  <c r="BO307" i="6" s="1"/>
  <c r="BM191" i="6"/>
  <c r="BN191" i="6" s="1"/>
  <c r="BO191" i="6" s="1"/>
  <c r="BM439" i="6"/>
  <c r="BN439" i="6" s="1"/>
  <c r="BO439" i="6" s="1"/>
  <c r="BM134" i="6"/>
  <c r="BN134" i="6" s="1"/>
  <c r="BO134" i="6" s="1"/>
  <c r="BM5" i="6"/>
  <c r="BN5" i="6" s="1"/>
  <c r="BO5" i="6" s="1"/>
  <c r="BM447" i="6"/>
  <c r="BN447" i="6" s="1"/>
  <c r="BO447" i="6" s="1"/>
  <c r="BM132" i="6"/>
  <c r="BN132" i="6" s="1"/>
  <c r="BO132" i="6" s="1"/>
  <c r="BM249" i="6"/>
  <c r="BN249" i="6" s="1"/>
  <c r="BO249" i="6" s="1"/>
  <c r="BM69" i="6"/>
  <c r="BN69" i="6" s="1"/>
  <c r="BO69" i="6" s="1"/>
  <c r="BM216" i="6"/>
  <c r="BN216" i="6" s="1"/>
  <c r="BO216" i="6" s="1"/>
  <c r="BM110" i="6"/>
  <c r="BN110" i="6" s="1"/>
  <c r="BO110" i="6" s="1"/>
  <c r="BM47" i="6"/>
  <c r="BN47" i="6" s="1"/>
  <c r="BO47" i="6" s="1"/>
  <c r="BM202" i="6"/>
  <c r="BN202" i="6" s="1"/>
  <c r="BO202" i="6" s="1"/>
  <c r="BM27" i="6"/>
  <c r="BN27" i="6" s="1"/>
  <c r="BO27" i="6" s="1"/>
  <c r="BM158" i="6"/>
  <c r="BN158" i="6" s="1"/>
  <c r="BO158" i="6" s="1"/>
  <c r="BM25" i="6"/>
  <c r="BN25" i="6" s="1"/>
  <c r="BO25" i="6" s="1"/>
  <c r="BM377" i="6"/>
  <c r="BN377" i="6" s="1"/>
  <c r="BO377" i="6" s="1"/>
  <c r="BM39" i="6"/>
  <c r="BN39" i="6" s="1"/>
  <c r="BO39" i="6" s="1"/>
  <c r="BM446" i="6"/>
  <c r="BN446" i="6" s="1"/>
  <c r="BO446" i="6" s="1"/>
  <c r="BM300" i="6"/>
  <c r="BN300" i="6" s="1"/>
  <c r="BO300" i="6" s="1"/>
  <c r="BM283" i="6"/>
  <c r="BN283" i="6" s="1"/>
  <c r="BO283" i="6" s="1"/>
  <c r="BM450" i="6"/>
  <c r="BN450" i="6" s="1"/>
  <c r="BO450" i="6" s="1"/>
  <c r="BM404" i="6"/>
  <c r="BN404" i="6" s="1"/>
  <c r="BO404" i="6" s="1"/>
  <c r="BM387" i="6"/>
  <c r="BN387" i="6" s="1"/>
  <c r="BO387" i="6" s="1"/>
  <c r="BM209" i="6"/>
  <c r="BN209" i="6" s="1"/>
  <c r="BO209" i="6" s="1"/>
  <c r="BM469" i="6"/>
  <c r="BN469" i="6" s="1"/>
  <c r="BO469" i="6" s="1"/>
  <c r="BM397" i="6"/>
  <c r="BN397" i="6" s="1"/>
  <c r="BO397" i="6" s="1"/>
  <c r="BM223" i="6"/>
  <c r="BN223" i="6" s="1"/>
  <c r="BO223" i="6" s="1"/>
  <c r="BM264" i="6"/>
  <c r="BN264" i="6" s="1"/>
  <c r="BO264" i="6" s="1"/>
  <c r="BM266" i="6"/>
  <c r="BN266" i="6" s="1"/>
  <c r="BO266" i="6" s="1"/>
  <c r="BM200" i="6"/>
  <c r="BN200" i="6" s="1"/>
  <c r="BO200" i="6" s="1"/>
  <c r="BM135" i="6"/>
  <c r="BN135" i="6" s="1"/>
  <c r="BO135" i="6" s="1"/>
  <c r="BM80" i="6"/>
  <c r="BN80" i="6" s="1"/>
  <c r="BO80" i="6" s="1"/>
  <c r="BM128" i="6"/>
  <c r="BN128" i="6" s="1"/>
  <c r="BO128" i="6" s="1"/>
  <c r="BM343" i="6"/>
  <c r="BN343" i="6" s="1"/>
  <c r="BO343" i="6" s="1"/>
  <c r="BM395" i="6"/>
  <c r="BN395" i="6" s="1"/>
  <c r="BO395" i="6" s="1"/>
  <c r="BM297" i="6"/>
  <c r="BN297" i="6" s="1"/>
  <c r="BO297" i="6" s="1"/>
  <c r="BM180" i="6"/>
  <c r="BN180" i="6" s="1"/>
  <c r="BO180" i="6" s="1"/>
  <c r="BM284" i="6"/>
  <c r="BN284" i="6" s="1"/>
  <c r="BO284" i="6" s="1"/>
  <c r="BM262" i="6"/>
  <c r="BN262" i="6" s="1"/>
  <c r="BO262" i="6" s="1"/>
  <c r="BM3" i="6"/>
  <c r="BN3" i="6" s="1"/>
  <c r="BO3" i="6" s="1"/>
  <c r="BM71" i="6"/>
  <c r="BN71" i="6" s="1"/>
  <c r="BO71" i="6" s="1"/>
  <c r="BM246" i="6"/>
  <c r="BN246" i="6" s="1"/>
  <c r="BO246" i="6" s="1"/>
  <c r="BM89" i="6"/>
  <c r="BN89" i="6" s="1"/>
  <c r="BO89" i="6" s="1"/>
  <c r="BM456" i="6"/>
  <c r="BN456" i="6" s="1"/>
  <c r="BO456" i="6" s="1"/>
  <c r="BM183" i="6"/>
  <c r="BN183" i="6" s="1"/>
  <c r="BO183" i="6" s="1"/>
  <c r="BM405" i="6"/>
  <c r="BN405" i="6" s="1"/>
  <c r="BO405" i="6" s="1"/>
  <c r="BM402" i="6"/>
  <c r="BN402" i="6" s="1"/>
  <c r="BO402" i="6" s="1"/>
  <c r="BM298" i="6"/>
  <c r="BN298" i="6" s="1"/>
  <c r="BO298" i="6" s="1"/>
  <c r="BM101" i="6"/>
  <c r="BN101" i="6" s="1"/>
  <c r="BO101" i="6" s="1"/>
  <c r="BM265" i="6"/>
  <c r="BN265" i="6" s="1"/>
  <c r="BO265" i="6" s="1"/>
  <c r="BM24" i="6"/>
  <c r="BN24" i="6" s="1"/>
  <c r="BO24" i="6" s="1"/>
  <c r="BM166" i="6"/>
  <c r="BN166" i="6" s="1"/>
  <c r="BO166" i="6" s="1"/>
  <c r="BM465" i="6"/>
  <c r="BN465" i="6" s="1"/>
  <c r="BO465" i="6" s="1"/>
  <c r="BM140" i="6"/>
  <c r="BN140" i="6" s="1"/>
  <c r="BO140" i="6" s="1"/>
  <c r="BM320" i="6"/>
  <c r="BN320" i="6" s="1"/>
  <c r="BO320" i="6" s="1"/>
  <c r="BM22" i="6"/>
  <c r="BN22" i="6" s="1"/>
  <c r="BO22" i="6" s="1"/>
  <c r="BM365" i="6"/>
  <c r="BN365" i="6" s="1"/>
  <c r="BO365" i="6" s="1"/>
  <c r="BM356" i="6"/>
  <c r="BN356" i="6" s="1"/>
  <c r="BO356" i="6" s="1"/>
  <c r="BM257" i="6"/>
  <c r="BN257" i="6" s="1"/>
  <c r="BO257" i="6" s="1"/>
  <c r="BM18" i="6"/>
  <c r="BN18" i="6" s="1"/>
  <c r="BO18" i="6" s="1"/>
  <c r="BM269" i="6"/>
  <c r="BN269" i="6" s="1"/>
  <c r="BO269" i="6" s="1"/>
  <c r="BM290" i="6"/>
  <c r="BN290" i="6" s="1"/>
  <c r="BO290" i="6" s="1"/>
  <c r="BM171" i="6"/>
  <c r="BN171" i="6" s="1"/>
  <c r="BO171" i="6" s="1"/>
  <c r="BM149" i="6"/>
  <c r="BN149" i="6" s="1"/>
  <c r="BO149" i="6" s="1"/>
  <c r="BM230" i="6"/>
  <c r="BN230" i="6" s="1"/>
  <c r="BO230" i="6" s="1"/>
  <c r="BM12" i="6"/>
  <c r="BN12" i="6" s="1"/>
  <c r="BO12" i="6" s="1"/>
  <c r="BM272" i="6"/>
  <c r="BN272" i="6" s="1"/>
  <c r="BO272" i="6" s="1"/>
  <c r="BM459" i="6"/>
  <c r="BN459" i="6" s="1"/>
  <c r="BO459" i="6" s="1"/>
  <c r="BM390" i="6"/>
  <c r="BN390" i="6" s="1"/>
  <c r="BO390" i="6" s="1"/>
  <c r="BM154" i="6"/>
  <c r="BN154" i="6" s="1"/>
  <c r="BO154" i="6" s="1"/>
  <c r="BM432" i="6"/>
  <c r="BN432" i="6" s="1"/>
  <c r="BO432" i="6" s="1"/>
  <c r="BM382" i="6"/>
  <c r="BN382" i="6" s="1"/>
  <c r="BO382" i="6" s="1"/>
  <c r="BM11" i="6"/>
  <c r="BN11" i="6" s="1"/>
  <c r="BO11" i="6" s="1"/>
  <c r="BM286" i="6"/>
  <c r="BN286" i="6" s="1"/>
  <c r="BO286" i="6" s="1"/>
  <c r="BM438" i="6"/>
  <c r="BN438" i="6" s="1"/>
  <c r="BO438" i="6" s="1"/>
  <c r="BM87" i="6"/>
  <c r="BN87" i="6" s="1"/>
  <c r="BO87" i="6" s="1"/>
  <c r="BM30" i="6"/>
  <c r="BN30" i="6" s="1"/>
  <c r="BO30" i="6" s="1"/>
  <c r="BM213" i="6"/>
  <c r="BN213" i="6" s="1"/>
  <c r="BO213" i="6" s="1"/>
  <c r="BM126" i="6"/>
  <c r="BN126" i="6" s="1"/>
  <c r="BO126" i="6" s="1"/>
  <c r="BM326" i="6"/>
  <c r="BN326" i="6" s="1"/>
  <c r="BO326" i="6" s="1"/>
  <c r="BM181" i="6"/>
  <c r="BN181" i="6" s="1"/>
  <c r="BO181" i="6" s="1"/>
  <c r="BM196" i="6"/>
  <c r="BN196" i="6" s="1"/>
  <c r="BO196" i="6" s="1"/>
  <c r="BM240" i="6"/>
  <c r="BN240" i="6" s="1"/>
  <c r="BO240" i="6" s="1"/>
  <c r="BM76" i="6"/>
  <c r="BN76" i="6" s="1"/>
  <c r="BO76" i="6" s="1"/>
  <c r="BM261" i="6"/>
  <c r="BN261" i="6" s="1"/>
  <c r="BO261" i="6" s="1"/>
  <c r="BM118" i="6"/>
  <c r="BN118" i="6" s="1"/>
  <c r="BO118" i="6" s="1"/>
  <c r="BM144" i="6"/>
  <c r="BN144" i="6" s="1"/>
  <c r="BO144" i="6" s="1"/>
  <c r="BM85" i="6"/>
  <c r="BN85" i="6" s="1"/>
  <c r="BO85" i="6" s="1"/>
  <c r="BM472" i="6"/>
  <c r="BN472" i="6" s="1"/>
  <c r="BO472" i="6" s="1"/>
  <c r="BM346" i="6"/>
  <c r="BN346" i="6" s="1"/>
  <c r="BO346" i="6" s="1"/>
  <c r="BM98" i="6"/>
  <c r="BN98" i="6" s="1"/>
  <c r="BO98" i="6" s="1"/>
  <c r="BM115" i="6"/>
  <c r="BN115" i="6" s="1"/>
  <c r="BO115" i="6" s="1"/>
  <c r="BM340" i="6"/>
  <c r="BN340" i="6" s="1"/>
  <c r="BO340" i="6" s="1"/>
  <c r="BM422" i="6"/>
  <c r="BN422" i="6" s="1"/>
  <c r="BO422" i="6" s="1"/>
  <c r="BM457" i="6"/>
  <c r="BN457" i="6" s="1"/>
  <c r="BO457" i="6" s="1"/>
  <c r="BM73" i="6"/>
  <c r="BN73" i="6" s="1"/>
  <c r="BO73" i="6" s="1"/>
  <c r="BM451" i="6"/>
  <c r="BN451" i="6" s="1"/>
  <c r="BO451" i="6" s="1"/>
  <c r="BM194" i="6"/>
  <c r="BN194" i="6" s="1"/>
  <c r="BO194" i="6" s="1"/>
  <c r="BM335" i="6"/>
  <c r="BN335" i="6" s="1"/>
  <c r="BO335" i="6" s="1"/>
  <c r="BM444" i="6"/>
  <c r="BN444" i="6" s="1"/>
  <c r="BO444" i="6" s="1"/>
  <c r="BM317" i="6"/>
  <c r="BN317" i="6" s="1"/>
  <c r="BO317" i="6" s="1"/>
  <c r="BM37" i="6"/>
  <c r="BN37" i="6" s="1"/>
  <c r="BO37" i="6" s="1"/>
  <c r="BM452" i="6"/>
  <c r="BN452" i="6" s="1"/>
  <c r="BO452" i="6" s="1"/>
  <c r="BM318" i="6"/>
  <c r="BN318" i="6" s="1"/>
  <c r="BO318" i="6" s="1"/>
  <c r="BM155" i="6"/>
  <c r="BN155" i="6" s="1"/>
  <c r="BO155" i="6" s="1"/>
  <c r="BM378" i="6"/>
  <c r="BN378" i="6" s="1"/>
  <c r="BO378" i="6" s="1"/>
  <c r="BM362" i="6"/>
  <c r="BN362" i="6" s="1"/>
  <c r="BO362" i="6" s="1"/>
  <c r="BM461" i="6"/>
  <c r="BN461" i="6" s="1"/>
  <c r="BO461" i="6" s="1"/>
  <c r="BM6" i="6"/>
  <c r="BN6" i="6" s="1"/>
  <c r="BO6" i="6" s="1"/>
  <c r="BM67" i="6"/>
  <c r="BN67" i="6" s="1"/>
  <c r="BO67" i="6" s="1"/>
  <c r="BM125" i="6"/>
  <c r="BN125" i="6" s="1"/>
  <c r="BO125" i="6" s="1"/>
  <c r="BM393" i="6"/>
  <c r="BN393" i="6" s="1"/>
  <c r="BO393" i="6" s="1"/>
  <c r="BM420" i="6"/>
  <c r="BN420" i="6" s="1"/>
  <c r="BO420" i="6" s="1"/>
  <c r="BM105" i="6"/>
  <c r="BN105" i="6" s="1"/>
  <c r="BO105" i="6" s="1"/>
  <c r="BM242" i="6"/>
  <c r="BN242" i="6" s="1"/>
  <c r="BO242" i="6" s="1"/>
  <c r="BM467" i="6"/>
  <c r="BN467" i="6" s="1"/>
  <c r="BO467" i="6" s="1"/>
  <c r="BM431" i="6"/>
  <c r="BN431" i="6" s="1"/>
  <c r="BO431" i="6" s="1"/>
  <c r="BM62" i="6"/>
  <c r="BN62" i="6" s="1"/>
  <c r="BO62" i="6" s="1"/>
  <c r="BM137" i="6"/>
  <c r="BN137" i="6" s="1"/>
  <c r="BO137" i="6" s="1"/>
  <c r="BM129" i="6"/>
  <c r="BN129" i="6" s="1"/>
  <c r="BO129" i="6" s="1"/>
  <c r="BM48" i="6"/>
  <c r="BN48" i="6" s="1"/>
  <c r="BO48" i="6" s="1"/>
  <c r="BM65" i="6"/>
  <c r="BN65" i="6" s="1"/>
  <c r="BO65" i="6" s="1"/>
  <c r="BM314" i="6"/>
  <c r="BN314" i="6" s="1"/>
  <c r="BO314" i="6" s="1"/>
  <c r="BM355" i="6"/>
  <c r="BN355" i="6" s="1"/>
  <c r="BO355" i="6" s="1"/>
  <c r="BM434" i="6"/>
  <c r="BN434" i="6" s="1"/>
  <c r="BO434" i="6" s="1"/>
  <c r="BM428" i="6"/>
  <c r="BN428" i="6" s="1"/>
  <c r="BO428" i="6" s="1"/>
  <c r="BM7" i="6"/>
  <c r="BN7" i="6" s="1"/>
  <c r="BO7" i="6" s="1"/>
  <c r="BM119" i="6"/>
  <c r="BN119" i="6" s="1"/>
  <c r="BO119" i="6" s="1"/>
  <c r="BM176" i="6"/>
  <c r="BN176" i="6" s="1"/>
  <c r="BO176" i="6" s="1"/>
  <c r="BM370" i="6"/>
  <c r="BN370" i="6" s="1"/>
  <c r="BO370" i="6" s="1"/>
  <c r="BM169" i="6"/>
  <c r="BN169" i="6" s="1"/>
  <c r="BO169" i="6" s="1"/>
  <c r="BM376" i="6"/>
  <c r="BN376" i="6" s="1"/>
  <c r="BO376" i="6" s="1"/>
  <c r="BM96" i="6"/>
  <c r="BN96" i="6" s="1"/>
  <c r="BO96" i="6" s="1"/>
  <c r="BM19" i="6"/>
  <c r="BN19" i="6" s="1"/>
  <c r="BO19" i="6" s="1"/>
  <c r="BM10" i="6"/>
  <c r="BN10" i="6" s="1"/>
  <c r="BO10" i="6" s="1"/>
  <c r="BM333" i="6"/>
  <c r="BN333" i="6" s="1"/>
  <c r="BO333" i="6" s="1"/>
  <c r="BM352" i="6"/>
  <c r="BN352" i="6" s="1"/>
  <c r="BO352" i="6" s="1"/>
  <c r="BM311" i="6"/>
  <c r="BN311" i="6" s="1"/>
  <c r="BO311" i="6" s="1"/>
  <c r="BM273" i="6"/>
  <c r="BN273" i="6" s="1"/>
  <c r="BO273" i="6" s="1"/>
  <c r="BM367" i="6"/>
  <c r="BN367" i="6" s="1"/>
  <c r="BO367" i="6" s="1"/>
  <c r="BM425" i="6"/>
  <c r="BN425" i="6" s="1"/>
  <c r="BO425" i="6" s="1"/>
  <c r="BM38" i="6"/>
  <c r="BN38" i="6" s="1"/>
  <c r="BO38" i="6" s="1"/>
  <c r="BM224" i="6"/>
  <c r="BN224" i="6" s="1"/>
  <c r="BO224" i="6" s="1"/>
  <c r="BM278" i="6"/>
  <c r="BN278" i="6" s="1"/>
  <c r="BO278" i="6" s="1"/>
  <c r="BM280" i="6"/>
  <c r="BN280" i="6" s="1"/>
  <c r="BO280" i="6" s="1"/>
  <c r="BM403" i="6"/>
  <c r="BN403" i="6" s="1"/>
  <c r="BO403" i="6" s="1"/>
  <c r="BM116" i="6"/>
  <c r="BN116" i="6" s="1"/>
  <c r="BO116" i="6" s="1"/>
  <c r="BM50" i="6"/>
  <c r="BN50" i="6" s="1"/>
  <c r="BO50" i="6" s="1"/>
  <c r="BM471" i="6"/>
  <c r="BN471" i="6" s="1"/>
  <c r="BO471" i="6" s="1"/>
  <c r="BM17" i="6"/>
  <c r="BN17" i="6" s="1"/>
  <c r="BO17" i="6" s="1"/>
  <c r="BM285" i="6"/>
  <c r="BN285" i="6" s="1"/>
  <c r="BO285" i="6" s="1"/>
  <c r="BM186" i="6"/>
  <c r="BN186" i="6" s="1"/>
  <c r="BO186" i="6" s="1"/>
  <c r="BM102" i="6"/>
  <c r="BN102" i="6" s="1"/>
  <c r="BO102" i="6" s="1"/>
  <c r="BM41" i="6"/>
  <c r="BN41" i="6" s="1"/>
  <c r="BO41" i="6" s="1"/>
  <c r="BM164" i="6"/>
  <c r="BN164" i="6" s="1"/>
  <c r="BO164" i="6" s="1"/>
  <c r="BM241" i="6"/>
  <c r="BN241" i="6" s="1"/>
  <c r="BO241" i="6" s="1"/>
  <c r="BM375" i="6"/>
  <c r="BN375" i="6" s="1"/>
  <c r="BO375" i="6" s="1"/>
  <c r="BM430" i="6"/>
  <c r="BN430" i="6" s="1"/>
  <c r="BO430" i="6" s="1"/>
  <c r="BM122" i="6"/>
  <c r="BN122" i="6" s="1"/>
  <c r="BO122" i="6" s="1"/>
  <c r="BM59" i="6"/>
  <c r="BN59" i="6" s="1"/>
  <c r="BO59" i="6" s="1"/>
  <c r="BM336" i="6"/>
  <c r="BN336" i="6" s="1"/>
  <c r="BO336" i="6" s="1"/>
  <c r="BM156" i="6"/>
  <c r="BN156" i="6" s="1"/>
  <c r="BO156" i="6" s="1"/>
  <c r="BM221" i="6"/>
  <c r="BN221" i="6" s="1"/>
  <c r="BO221" i="6" s="1"/>
  <c r="BM253" i="6"/>
  <c r="BN253" i="6" s="1"/>
  <c r="BO253" i="6" s="1"/>
  <c r="BM185" i="6"/>
  <c r="BN185" i="6" s="1"/>
  <c r="BO185" i="6" s="1"/>
  <c r="BM455" i="6"/>
  <c r="BN455" i="6" s="1"/>
  <c r="BO455" i="6" s="1"/>
  <c r="BM371" i="6"/>
  <c r="BN371" i="6" s="1"/>
  <c r="BO371" i="6" s="1"/>
  <c r="BM187" i="6"/>
  <c r="BN187" i="6" s="1"/>
  <c r="BO187" i="6" s="1"/>
  <c r="BM337" i="6"/>
  <c r="BN337" i="6" s="1"/>
  <c r="BO337" i="6" s="1"/>
  <c r="BM146" i="6"/>
  <c r="BN146" i="6" s="1"/>
  <c r="BO146" i="6" s="1"/>
  <c r="BM245" i="6"/>
  <c r="BN245" i="6" s="1"/>
  <c r="BO245" i="6" s="1"/>
  <c r="BM120" i="6"/>
  <c r="BN120" i="6" s="1"/>
  <c r="BO120" i="6" s="1"/>
  <c r="BM350" i="6"/>
  <c r="BN350" i="6" s="1"/>
  <c r="BO350" i="6" s="1"/>
  <c r="BM359" i="6"/>
  <c r="BN359" i="6" s="1"/>
  <c r="BO359" i="6" s="1"/>
  <c r="BM113" i="6"/>
  <c r="BN113" i="6" s="1"/>
  <c r="BO113" i="6" s="1"/>
  <c r="BM268" i="6"/>
  <c r="BN268" i="6" s="1"/>
  <c r="BO268" i="6" s="1"/>
  <c r="BM347" i="6"/>
  <c r="BN347" i="6" s="1"/>
  <c r="BO347" i="6" s="1"/>
  <c r="BM389" i="6"/>
  <c r="BN389" i="6" s="1"/>
  <c r="BO389" i="6" s="1"/>
  <c r="BM277" i="6"/>
  <c r="BN277" i="6" s="1"/>
  <c r="BO277" i="6" s="1"/>
  <c r="BM295" i="6"/>
  <c r="BN295" i="6" s="1"/>
  <c r="BO295" i="6" s="1"/>
  <c r="BM159" i="6"/>
  <c r="BN159" i="6" s="1"/>
  <c r="BO159" i="6" s="1"/>
  <c r="BM198" i="6"/>
  <c r="BN198" i="6" s="1"/>
  <c r="BO198" i="6" s="1"/>
  <c r="BM23" i="6"/>
  <c r="BN23" i="6" s="1"/>
  <c r="BO23" i="6" s="1"/>
  <c r="BM271" i="6"/>
  <c r="BN271" i="6" s="1"/>
  <c r="BO271" i="6" s="1"/>
  <c r="BM168" i="6"/>
  <c r="BN168" i="6" s="1"/>
  <c r="BO168" i="6" s="1"/>
  <c r="BM248" i="6"/>
  <c r="BN248" i="6" s="1"/>
  <c r="BO248" i="6" s="1"/>
  <c r="BM90" i="6"/>
  <c r="BN90" i="6" s="1"/>
  <c r="BO90" i="6" s="1"/>
  <c r="BM306" i="6"/>
  <c r="BN306" i="6" s="1"/>
  <c r="BO306" i="6" s="1"/>
  <c r="BM84" i="6"/>
  <c r="BN84" i="6" s="1"/>
  <c r="BO84" i="6" s="1"/>
  <c r="BM88" i="6"/>
  <c r="BN88" i="6" s="1"/>
  <c r="BO88" i="6" s="1"/>
  <c r="BM97" i="6"/>
  <c r="BN97" i="6" s="1"/>
  <c r="BO97" i="6" s="1"/>
  <c r="BM150" i="6"/>
  <c r="BN150" i="6" s="1"/>
  <c r="BO150" i="6" s="1"/>
  <c r="BM436" i="6"/>
  <c r="BN436" i="6" s="1"/>
  <c r="BO436" i="6" s="1"/>
  <c r="BM310" i="6"/>
  <c r="BN310" i="6" s="1"/>
  <c r="BO310" i="6" s="1"/>
  <c r="BM231" i="6"/>
  <c r="BN231" i="6" s="1"/>
  <c r="BO231" i="6" s="1"/>
  <c r="BM406" i="6"/>
  <c r="BN406" i="6" s="1"/>
  <c r="BO406" i="6" s="1"/>
  <c r="BM344" i="6"/>
  <c r="BN344" i="6" s="1"/>
  <c r="BO344" i="6" s="1"/>
  <c r="BM219" i="6"/>
  <c r="BN219" i="6" s="1"/>
  <c r="BO219" i="6" s="1"/>
  <c r="BM152" i="6"/>
  <c r="BN152" i="6" s="1"/>
  <c r="BO152" i="6" s="1"/>
  <c r="BM296" i="6"/>
  <c r="BN296" i="6" s="1"/>
  <c r="BO296" i="6" s="1"/>
  <c r="BM182" i="6"/>
  <c r="BN182" i="6" s="1"/>
  <c r="BO182" i="6" s="1"/>
  <c r="BM417" i="6"/>
  <c r="BN417" i="6" s="1"/>
  <c r="BO417" i="6" s="1"/>
  <c r="BM401" i="6"/>
  <c r="BN401" i="6" s="1"/>
  <c r="BO401" i="6" s="1"/>
  <c r="BM274" i="6"/>
  <c r="BN274" i="6" s="1"/>
  <c r="BO274" i="6" s="1"/>
  <c r="BM153" i="6"/>
  <c r="BN153" i="6" s="1"/>
  <c r="BO153" i="6" s="1"/>
  <c r="BM178" i="6"/>
  <c r="BN178" i="6" s="1"/>
  <c r="BO178" i="6" s="1"/>
  <c r="BM179" i="6"/>
  <c r="BN179" i="6" s="1"/>
  <c r="BO179" i="6" s="1"/>
  <c r="BM33" i="6"/>
  <c r="BN33" i="6" s="1"/>
  <c r="BO33" i="6" s="1"/>
  <c r="BM142" i="6"/>
  <c r="BN142" i="6" s="1"/>
  <c r="BO142" i="6" s="1"/>
  <c r="BM322" i="6"/>
  <c r="BN322" i="6" s="1"/>
  <c r="BO322" i="6" s="1"/>
  <c r="BM414" i="6"/>
  <c r="BN414" i="6" s="1"/>
  <c r="BO414" i="6" s="1"/>
  <c r="BM388" i="6"/>
  <c r="BN388" i="6" s="1"/>
  <c r="BO388" i="6" s="1"/>
  <c r="BM421" i="6"/>
  <c r="BN421" i="6" s="1"/>
  <c r="BO421" i="6" s="1"/>
  <c r="BM239" i="6"/>
  <c r="BN239" i="6" s="1"/>
  <c r="BO239" i="6" s="1"/>
  <c r="BM419" i="6"/>
  <c r="BN419" i="6" s="1"/>
  <c r="BO419" i="6" s="1"/>
  <c r="BM327" i="6"/>
  <c r="BN327" i="6" s="1"/>
  <c r="BO327" i="6" s="1"/>
  <c r="BM21" i="6"/>
  <c r="BN21" i="6" s="1"/>
  <c r="BO21" i="6" s="1"/>
  <c r="BM426" i="6"/>
  <c r="BN426" i="6" s="1"/>
  <c r="BO426" i="6" s="1"/>
  <c r="BM173" i="6"/>
  <c r="BN173" i="6" s="1"/>
  <c r="BO173" i="6" s="1"/>
  <c r="BM174" i="6"/>
  <c r="BN174" i="6" s="1"/>
  <c r="BO174" i="6" s="1"/>
  <c r="BM55" i="6"/>
  <c r="BN55" i="6" s="1"/>
  <c r="BO55" i="6" s="1"/>
  <c r="BM40" i="6"/>
  <c r="BN40" i="6" s="1"/>
  <c r="BO40" i="6" s="1"/>
  <c r="BM52" i="6"/>
  <c r="BN52" i="6" s="1"/>
  <c r="BO52" i="6" s="1"/>
  <c r="BM104" i="6"/>
  <c r="BN104" i="6" s="1"/>
  <c r="BO104" i="6" s="1"/>
  <c r="BM345" i="6"/>
  <c r="BN345" i="6" s="1"/>
  <c r="BO345" i="6" s="1"/>
  <c r="BM103" i="6"/>
  <c r="BN103" i="6" s="1"/>
  <c r="BO103" i="6" s="1"/>
  <c r="BM212" i="6"/>
  <c r="BN212" i="6" s="1"/>
  <c r="BO212" i="6" s="1"/>
  <c r="BM380" i="6"/>
  <c r="BN380" i="6" s="1"/>
  <c r="BO380" i="6" s="1"/>
  <c r="BM29" i="6"/>
  <c r="BN29" i="6" s="1"/>
  <c r="BO29" i="6" s="1"/>
  <c r="BM172" i="6"/>
  <c r="BN172" i="6" s="1"/>
  <c r="BO172" i="6" s="1"/>
  <c r="BM349" i="6"/>
  <c r="BN349" i="6" s="1"/>
  <c r="BO349" i="6" s="1"/>
  <c r="BM304" i="6"/>
  <c r="BN304" i="6" s="1"/>
  <c r="BO304" i="6" s="1"/>
  <c r="BM211" i="6"/>
  <c r="BN211" i="6" s="1"/>
  <c r="BO211" i="6" s="1"/>
  <c r="BM315" i="6"/>
  <c r="BN315" i="6" s="1"/>
  <c r="BO315" i="6" s="1"/>
  <c r="BM99" i="6"/>
  <c r="BN99" i="6" s="1"/>
  <c r="BO99" i="6" s="1"/>
  <c r="BM15" i="6"/>
  <c r="BN15" i="6" s="1"/>
  <c r="BO15" i="6" s="1"/>
  <c r="BM323" i="6"/>
  <c r="BN323" i="6" s="1"/>
  <c r="BO323" i="6" s="1"/>
  <c r="BM386" i="6"/>
  <c r="BN386" i="6" s="1"/>
  <c r="BO386" i="6" s="1"/>
  <c r="BM416" i="6"/>
  <c r="BN416" i="6" s="1"/>
  <c r="BO416" i="6" s="1"/>
  <c r="BM255" i="6"/>
  <c r="BN255" i="6" s="1"/>
  <c r="BO255" i="6" s="1"/>
  <c r="BM13" i="6"/>
  <c r="BN13" i="6" s="1"/>
  <c r="BO13" i="6" s="1"/>
  <c r="BM299" i="6"/>
  <c r="BN299" i="6" s="1"/>
  <c r="BO299" i="6" s="1"/>
  <c r="BM427" i="6"/>
  <c r="BN427" i="6" s="1"/>
  <c r="BO427" i="6" s="1"/>
  <c r="BM294" i="6"/>
  <c r="BN294" i="6" s="1"/>
  <c r="BO294" i="6" s="1"/>
  <c r="BM409" i="6"/>
  <c r="BN409" i="6" s="1"/>
  <c r="BO409" i="6" s="1"/>
  <c r="BM392" i="6"/>
  <c r="BN392" i="6" s="1"/>
  <c r="BO392" i="6" s="1"/>
  <c r="BM162" i="6"/>
  <c r="BN162" i="6" s="1"/>
  <c r="BO162" i="6" s="1"/>
  <c r="BM46" i="6"/>
  <c r="BN46" i="6" s="1"/>
  <c r="BO46" i="6" s="1"/>
  <c r="BM147" i="6"/>
  <c r="BN147" i="6" s="1"/>
  <c r="BO147" i="6" s="1"/>
  <c r="BM199" i="6"/>
  <c r="BN199" i="6" s="1"/>
  <c r="BO199" i="6" s="1"/>
  <c r="BM31" i="6"/>
  <c r="BN31" i="6" s="1"/>
  <c r="BO31" i="6" s="1"/>
  <c r="BM215" i="6"/>
  <c r="BN215" i="6" s="1"/>
  <c r="BO215" i="6" s="1"/>
  <c r="BM334" i="6"/>
  <c r="BN334" i="6" s="1"/>
  <c r="BO334" i="6" s="1"/>
  <c r="BM175" i="6"/>
  <c r="BN175" i="6" s="1"/>
  <c r="BO175" i="6" s="1"/>
  <c r="BM400" i="6"/>
  <c r="BN400" i="6" s="1"/>
  <c r="BO400" i="6" s="1"/>
  <c r="BM410" i="6"/>
  <c r="BN410" i="6" s="1"/>
  <c r="BO410" i="6" s="1"/>
  <c r="BM328" i="6"/>
  <c r="BN328" i="6" s="1"/>
  <c r="BO328" i="6" s="1"/>
  <c r="BM319" i="6"/>
  <c r="BN319" i="6" s="1"/>
  <c r="BO319" i="6" s="1"/>
  <c r="BM74" i="6"/>
  <c r="BN74" i="6" s="1"/>
  <c r="BO74" i="6" s="1"/>
  <c r="BM77" i="6"/>
  <c r="BN77" i="6" s="1"/>
  <c r="BO77" i="6" s="1"/>
  <c r="BM254" i="6"/>
  <c r="BN254" i="6" s="1"/>
  <c r="BO254" i="6" s="1"/>
  <c r="BM263" i="6"/>
  <c r="BN263" i="6" s="1"/>
  <c r="BO263" i="6" s="1"/>
  <c r="BM218" i="6"/>
  <c r="BN218" i="6" s="1"/>
  <c r="BO218" i="6" s="1"/>
  <c r="BM453" i="6"/>
  <c r="BN453" i="6" s="1"/>
  <c r="BO453" i="6" s="1"/>
  <c r="BM177" i="6"/>
  <c r="BN177" i="6" s="1"/>
  <c r="BO177" i="6" s="1"/>
  <c r="BM466" i="6"/>
  <c r="BN466" i="6" s="1"/>
  <c r="BO466" i="6" s="1"/>
  <c r="BM133" i="6"/>
  <c r="BN133" i="6" s="1"/>
  <c r="BO133" i="6" s="1"/>
  <c r="BM353" i="6"/>
  <c r="BN353" i="6" s="1"/>
  <c r="BO353" i="6" s="1"/>
  <c r="BM170" i="6"/>
  <c r="BN170" i="6" s="1"/>
  <c r="BO170" i="6" s="1"/>
  <c r="BM57" i="6"/>
  <c r="BN57" i="6" s="1"/>
  <c r="BO57" i="6" s="1"/>
  <c r="BM58" i="6"/>
  <c r="BN58" i="6" s="1"/>
  <c r="BO58" i="6" s="1"/>
  <c r="BM214" i="6"/>
  <c r="BN214" i="6" s="1"/>
  <c r="BO214" i="6" s="1"/>
  <c r="BM2" i="6"/>
  <c r="BN2" i="6" s="1"/>
  <c r="BO2" i="6" s="1"/>
  <c r="BM360" i="6"/>
  <c r="BN360" i="6" s="1"/>
  <c r="BO360" i="6" s="1"/>
  <c r="BM4" i="6"/>
  <c r="BN4" i="6" s="1"/>
  <c r="BO4" i="6" s="1"/>
  <c r="BM160" i="6"/>
  <c r="BN160" i="6" s="1"/>
  <c r="BO160" i="6" s="1"/>
  <c r="BM139" i="6"/>
  <c r="BN139" i="6" s="1"/>
  <c r="BO139" i="6" s="1"/>
  <c r="BM460" i="6"/>
  <c r="BN460" i="6" s="1"/>
  <c r="BO460" i="6" s="1"/>
  <c r="BM190" i="6"/>
  <c r="BN190" i="6" s="1"/>
  <c r="BO190" i="6" s="1"/>
  <c r="BM259" i="6"/>
  <c r="BN259" i="6" s="1"/>
  <c r="BO259" i="6" s="1"/>
  <c r="BM309" i="6"/>
  <c r="BN309" i="6" s="1"/>
  <c r="BO309" i="6" s="1"/>
  <c r="BM220" i="6"/>
  <c r="BN220" i="6" s="1"/>
  <c r="BO220" i="6" s="1"/>
  <c r="BM312" i="6"/>
  <c r="BN312" i="6" s="1"/>
  <c r="BO312" i="6" s="1"/>
  <c r="BM238" i="6"/>
  <c r="BN238" i="6" s="1"/>
  <c r="BO238" i="6" s="1"/>
  <c r="BM369" i="6"/>
  <c r="BN369" i="6" s="1"/>
  <c r="BO369" i="6" s="1"/>
  <c r="BM437" i="6"/>
  <c r="BN437" i="6" s="1"/>
  <c r="BO437" i="6" s="1"/>
  <c r="BM188" i="6"/>
  <c r="BN188" i="6" s="1"/>
  <c r="BO188" i="6" s="1"/>
  <c r="BM197" i="6"/>
  <c r="BN197" i="6" s="1"/>
  <c r="BO197" i="6" s="1"/>
  <c r="BM16" i="6"/>
  <c r="BN16" i="6" s="1"/>
  <c r="BO16" i="6" s="1"/>
  <c r="BM94" i="6"/>
  <c r="BN94" i="6" s="1"/>
  <c r="BO94" i="6" s="1"/>
  <c r="BM287" i="6"/>
  <c r="BN287" i="6" s="1"/>
  <c r="BO287" i="6" s="1"/>
  <c r="BM167" i="6"/>
  <c r="BN167" i="6" s="1"/>
  <c r="BO167" i="6" s="1"/>
  <c r="BM207" i="6"/>
  <c r="BN207" i="6" s="1"/>
  <c r="BO207" i="6" s="1"/>
  <c r="BM413" i="6"/>
  <c r="BN413" i="6" s="1"/>
  <c r="BO413" i="6" s="1"/>
  <c r="BM237" i="6"/>
  <c r="BN237" i="6" s="1"/>
  <c r="BO237" i="6" s="1"/>
  <c r="BM44" i="6"/>
  <c r="BN44" i="6" s="1"/>
  <c r="BO44" i="6" s="1"/>
  <c r="BM63" i="6"/>
  <c r="BN63" i="6" s="1"/>
  <c r="BO63" i="6" s="1"/>
  <c r="BM56" i="6"/>
  <c r="BN56" i="6" s="1"/>
  <c r="BO56" i="6" s="1"/>
  <c r="BM424" i="6"/>
  <c r="BN424" i="6" s="1"/>
  <c r="BO424" i="6" s="1"/>
  <c r="BM205" i="6"/>
  <c r="BN205" i="6" s="1"/>
  <c r="BO205" i="6" s="1"/>
  <c r="BM418" i="6"/>
  <c r="BN418" i="6" s="1"/>
  <c r="BO418" i="6" s="1"/>
  <c r="BM100" i="6"/>
  <c r="BN100" i="6" s="1"/>
  <c r="BO100" i="6" s="1"/>
  <c r="BN2" i="4" l="1"/>
</calcChain>
</file>

<file path=xl/sharedStrings.xml><?xml version="1.0" encoding="utf-8"?>
<sst xmlns="http://schemas.openxmlformats.org/spreadsheetml/2006/main" count="775" uniqueCount="524">
  <si>
    <t>Correct</t>
  </si>
  <si>
    <t>Incorrect</t>
  </si>
  <si>
    <t>μ</t>
  </si>
  <si>
    <t>σ</t>
  </si>
  <si>
    <t>Z</t>
  </si>
  <si>
    <t>b</t>
  </si>
  <si>
    <t>C</t>
  </si>
  <si>
    <t>IN</t>
  </si>
  <si>
    <t>P</t>
  </si>
  <si>
    <t>Maxxxxx</t>
  </si>
  <si>
    <t>A+</t>
  </si>
  <si>
    <t>BALL</t>
  </si>
  <si>
    <t>Da'reje</t>
  </si>
  <si>
    <t>Skill(ϴ)</t>
  </si>
  <si>
    <t>Raisov Xurshid</t>
  </si>
  <si>
    <t>Raxmanbergenova Diana</t>
  </si>
  <si>
    <t>Salavatova Asel</t>
  </si>
  <si>
    <t>Sholanbaeva Gulsima</t>
  </si>
  <si>
    <t>Kaziev Nursultan</t>
  </si>
  <si>
    <t>Elubaeva Aygerim</t>
  </si>
  <si>
    <t>Maxsutov Muxriddin</t>
  </si>
  <si>
    <t>Murtazaeva Sevinch</t>
  </si>
  <si>
    <t>Uzaqbaeva Alisa</t>
  </si>
  <si>
    <t>Gaypnazarov Nurlan</t>
  </si>
  <si>
    <t>Aminov Asilbek</t>
  </si>
  <si>
    <t>Quwanishbaev Berdiyar</t>
  </si>
  <si>
    <t>Bisenbaev Batirxan</t>
  </si>
  <si>
    <t>Adilbaev Vais</t>
  </si>
  <si>
    <t>Amankulov Jandarbek</t>
  </si>
  <si>
    <t>Muratbaev Nurtas</t>
  </si>
  <si>
    <t>Zayfunov Amir</t>
  </si>
  <si>
    <t>Balxojaeva Jasmina</t>
  </si>
  <si>
    <t>Kalbaeva Muhayyo</t>
  </si>
  <si>
    <t>Abenov Nurjan</t>
  </si>
  <si>
    <t>Abilkairov Mirzabek</t>
  </si>
  <si>
    <t>Kengeshbaev Sherzod</t>
  </si>
  <si>
    <t>Kopjursinov Kenjebek</t>
  </si>
  <si>
    <t>Ashirova Sabrina</t>
  </si>
  <si>
    <t>Saparbaeva Sevinch</t>
  </si>
  <si>
    <t>Bektursinov Samandar</t>
  </si>
  <si>
    <t>Sagidullaeva Dinara</t>
  </si>
  <si>
    <t>Joldasbaev Begis</t>
  </si>
  <si>
    <t>Reymbaeva Munisa</t>
  </si>
  <si>
    <t>Azatova Adolat</t>
  </si>
  <si>
    <t>Xo'jabayev Umid</t>
  </si>
  <si>
    <t>Jaksilikova Banu</t>
  </si>
  <si>
    <t>Allanazarov Aziz</t>
  </si>
  <si>
    <t>Amaniyazov Jandos</t>
  </si>
  <si>
    <t>Mustaximova Jasmina</t>
  </si>
  <si>
    <t>Kuralbaev Izzat</t>
  </si>
  <si>
    <t>A</t>
  </si>
  <si>
    <t>B+</t>
  </si>
  <si>
    <t>B</t>
  </si>
  <si>
    <t>C+</t>
  </si>
  <si>
    <t>№</t>
  </si>
  <si>
    <t>Palimbetov Ten'el</t>
  </si>
  <si>
    <r>
      <t>Abdulloh  Boboyev</t>
    </r>
    <r>
      <rPr>
        <u/>
        <sz val="11"/>
        <rFont val="Cambria"/>
        <family val="1"/>
        <charset val="204"/>
      </rPr>
      <t>     </t>
    </r>
  </si>
  <si>
    <t>Daniyarov Sarvar</t>
  </si>
  <si>
    <t>Utepbergenov Ozodbek</t>
  </si>
  <si>
    <t>Maxmudov Farrux</t>
  </si>
  <si>
    <t>Kenjayev Bahodir</t>
  </si>
  <si>
    <t>Mirzayorov O'ktam</t>
  </si>
  <si>
    <t>Qodirov Botirjon</t>
  </si>
  <si>
    <t>Umarov Akbar</t>
  </si>
  <si>
    <t>Redjepov Javohir</t>
  </si>
  <si>
    <t>Nurboyeva Vasila</t>
  </si>
  <si>
    <t>Atanazarova Shaxnazar</t>
  </si>
  <si>
    <t>Qalandarov  Davronbek</t>
  </si>
  <si>
    <t>Hamidullaeva Aynura</t>
  </si>
  <si>
    <t>Axmedov Allayar</t>
  </si>
  <si>
    <t>Abduraimov Javohir</t>
  </si>
  <si>
    <t>Urazimbetov Sharapatbek</t>
  </si>
  <si>
    <t>Ostonov Mashrab</t>
  </si>
  <si>
    <t>To'lanboyev Doniyorbek</t>
  </si>
  <si>
    <r>
      <t>Mahmudov  Qutlug'bek</t>
    </r>
    <r>
      <rPr>
        <u/>
        <sz val="11"/>
        <rFont val="Cambria"/>
        <family val="1"/>
        <charset val="204"/>
      </rPr>
      <t>     </t>
    </r>
  </si>
  <si>
    <t>To'lanboyev Dilyorbek</t>
  </si>
  <si>
    <t>Muxanov Dauletmurat</t>
  </si>
  <si>
    <t>Madetov Azizbek</t>
  </si>
  <si>
    <t>Daniyarov Jahongir</t>
  </si>
  <si>
    <t>Shukurov Furxat</t>
  </si>
  <si>
    <t>Babjanov Sardorbek</t>
  </si>
  <si>
    <t>Usmanova Xanifa</t>
  </si>
  <si>
    <r>
      <t>Azizov  Botir</t>
    </r>
    <r>
      <rPr>
        <u/>
        <sz val="11"/>
        <rFont val="Cambria"/>
        <family val="1"/>
        <charset val="204"/>
      </rPr>
      <t>     </t>
    </r>
  </si>
  <si>
    <t>Ashurov Doston</t>
  </si>
  <si>
    <t>O'rinov Abdumalik</t>
  </si>
  <si>
    <t>Iskandarov Ataxon</t>
  </si>
  <si>
    <t>Suyarov Maqsud</t>
  </si>
  <si>
    <t>Iqlasbaeva Nazlimxan</t>
  </si>
  <si>
    <t>Tillayev Dilshod</t>
  </si>
  <si>
    <t>Madreymova Diyora</t>
  </si>
  <si>
    <t>Nurmadov Zubayr</t>
  </si>
  <si>
    <t>Alloqulov Odilbek</t>
  </si>
  <si>
    <t>Rajabov Asilbek</t>
  </si>
  <si>
    <t>Sirojiddinov Jahongir</t>
  </si>
  <si>
    <t>Erjanov Samandar</t>
  </si>
  <si>
    <t>Najmiddinova Yasina</t>
  </si>
  <si>
    <t>Sagiyeva Merey</t>
  </si>
  <si>
    <t>Rahmonqulov Shertoy</t>
  </si>
  <si>
    <t>Maksimov Asadbek</t>
  </si>
  <si>
    <t>Shamsiddinova Dilafro'z</t>
  </si>
  <si>
    <r>
      <t>Rahimberdiyev  Tohirjon</t>
    </r>
    <r>
      <rPr>
        <u/>
        <sz val="11"/>
        <rFont val="Cambria"/>
        <family val="1"/>
        <charset val="204"/>
      </rPr>
      <t>     </t>
    </r>
  </si>
  <si>
    <t>Hayitbayev Asadbek</t>
  </si>
  <si>
    <t>Zokirov Muhiddin</t>
  </si>
  <si>
    <t>Shavkatova Ruxsora</t>
  </si>
  <si>
    <t>Ochilova Mavjuda</t>
  </si>
  <si>
    <t>Saidova Nilufar</t>
  </si>
  <si>
    <t>Erniyazov Dauletyar</t>
  </si>
  <si>
    <t>Sagidullaev Sherzod</t>
  </si>
  <si>
    <t>Abdug'affarov Behruz</t>
  </si>
  <si>
    <t>Tojiyev Kamol</t>
  </si>
  <si>
    <t>Normatov Abbos</t>
  </si>
  <si>
    <t>Zarifov Nodir (Narpay)</t>
  </si>
  <si>
    <t>Roxataliyeva Farangiz</t>
  </si>
  <si>
    <t>GALIMBAEV NURSULTAN</t>
  </si>
  <si>
    <t>Elomonova Odina</t>
  </si>
  <si>
    <t>Karjaubaev Nurqasim</t>
  </si>
  <si>
    <t>Madaminov Muhammadqodir</t>
  </si>
  <si>
    <t>Bobojonov G‘olib (Narpay)</t>
  </si>
  <si>
    <t>Mandibayev Janaris</t>
  </si>
  <si>
    <t>Maksutov Mirsaid</t>
  </si>
  <si>
    <t>Jamalov Davron</t>
  </si>
  <si>
    <t>Valijonova Feruzaxon</t>
  </si>
  <si>
    <t>Shamsiddinova Dilso'z</t>
  </si>
  <si>
    <t>Javlonbek Yigitaliyev</t>
  </si>
  <si>
    <t>Normurodov Asilbek (Narpay)</t>
  </si>
  <si>
    <t>Murodov Shahzod</t>
  </si>
  <si>
    <t>BEGZOD</t>
  </si>
  <si>
    <t>Rasulov Sayyorbek</t>
  </si>
  <si>
    <t>Mavlonova Zilola</t>
  </si>
  <si>
    <t>Ulug'murodov Elyor</t>
  </si>
  <si>
    <t>Abdumannanov Abdumalik</t>
  </si>
  <si>
    <t>Baxtiyarov Aybek</t>
  </si>
  <si>
    <t>Ismoilov Sardor (Narpay)</t>
  </si>
  <si>
    <t>Muhammadqodir Mazokirov</t>
  </si>
  <si>
    <t>O'ktamov Fayozbek</t>
  </si>
  <si>
    <t>Tolibaeva Aksungul</t>
  </si>
  <si>
    <t>Ubaydullayev Iqboljon</t>
  </si>
  <si>
    <t>Tolibaeva Hurlixa</t>
  </si>
  <si>
    <t>Saidkamolov Firdavs</t>
  </si>
  <si>
    <t>Rustamova Malika</t>
  </si>
  <si>
    <t>Ulug'murodov Nurmuhammad</t>
  </si>
  <si>
    <t>Xazratov Alisherbek</t>
  </si>
  <si>
    <t>Ibadullayev   Sherzodbek</t>
  </si>
  <si>
    <t>Andreev Azamat</t>
  </si>
  <si>
    <t>Mexliev Joxongir</t>
  </si>
  <si>
    <t>Ne'matullayev Firdavs</t>
  </si>
  <si>
    <t>Holmirzoyev Humoyunmirzo</t>
  </si>
  <si>
    <t>Karimbaev Asadbek</t>
  </si>
  <si>
    <t>Sobirov Og'abek</t>
  </si>
  <si>
    <t>Qurbonqulov Shohjahon</t>
  </si>
  <si>
    <r>
      <t>Abdulhayev  Bahodir</t>
    </r>
    <r>
      <rPr>
        <u/>
        <sz val="11"/>
        <rFont val="Cambria"/>
        <family val="1"/>
        <charset val="204"/>
      </rPr>
      <t>     </t>
    </r>
  </si>
  <si>
    <t>Nizomova Rayhona (Narpay)</t>
  </si>
  <si>
    <t>Bobomurodov Shoxruz (Narpay)</t>
  </si>
  <si>
    <r>
      <t>Abdujabborov  Asadbek</t>
    </r>
    <r>
      <rPr>
        <u/>
        <sz val="11"/>
        <rFont val="Cambria"/>
        <family val="1"/>
        <charset val="204"/>
      </rPr>
      <t>     </t>
    </r>
  </si>
  <si>
    <t>Toshniyozov Elbek</t>
  </si>
  <si>
    <t>Mirsaidov Akbar</t>
  </si>
  <si>
    <t>Urinbaev Sherzod</t>
  </si>
  <si>
    <r>
      <t>Madaminov  Mamurjon</t>
    </r>
    <r>
      <rPr>
        <u/>
        <sz val="11"/>
        <rFont val="Cambria"/>
        <family val="1"/>
        <charset val="204"/>
      </rPr>
      <t>     </t>
    </r>
  </si>
  <si>
    <t>Sultonova Iroda</t>
  </si>
  <si>
    <t>Ibragimova Shahnoza</t>
  </si>
  <si>
    <t>G'afurov Odilbek</t>
  </si>
  <si>
    <t>Kuandikov Rufat</t>
  </si>
  <si>
    <t>Ortiqov Ergashbek</t>
  </si>
  <si>
    <t>Shonazarov Boburbek</t>
  </si>
  <si>
    <t>Usmonova Mushtariybonu</t>
  </si>
  <si>
    <t>Maxmudova Mashhura</t>
  </si>
  <si>
    <t>Jasurbek</t>
  </si>
  <si>
    <t>Asadov Aslbek</t>
  </si>
  <si>
    <t>Burxonov Akbar</t>
  </si>
  <si>
    <t>Kamaladinova Zamira</t>
  </si>
  <si>
    <t>Rahmatov Shohjahon  (Narpay)</t>
  </si>
  <si>
    <t>Norxozova Aydana</t>
  </si>
  <si>
    <t>Qarshiboyev Oybek (Narpay)</t>
  </si>
  <si>
    <t>Xolboyev Xurshid</t>
  </si>
  <si>
    <t>Narbayeva Madina</t>
  </si>
  <si>
    <t>Ismoilov  Odibek</t>
  </si>
  <si>
    <t>BO'RIBAEV ERBOL</t>
  </si>
  <si>
    <t>Izzatullayev Akobir</t>
  </si>
  <si>
    <t>Tengelov Shahzod</t>
  </si>
  <si>
    <t>Yunusaliyev Omatillo</t>
  </si>
  <si>
    <t>Muhiddinov Muzaffarbek</t>
  </si>
  <si>
    <t>Namozov Azizbek</t>
  </si>
  <si>
    <t>Xayriddinov Otabek</t>
  </si>
  <si>
    <t>KALBAEV ZAYR</t>
  </si>
  <si>
    <t>Raximova Marjona</t>
  </si>
  <si>
    <t>Bo'riyev Abdurahmon</t>
  </si>
  <si>
    <t>Abduqodirova Rayhona  (Narpay)</t>
  </si>
  <si>
    <t>Vohidov Shaxobiddin</t>
  </si>
  <si>
    <t>Xudoyberdiyev Sherbek</t>
  </si>
  <si>
    <t>Normurodov Shoxruz</t>
  </si>
  <si>
    <t>Aybekov Akrom</t>
  </si>
  <si>
    <t>Raxmetdinov Salawat</t>
  </si>
  <si>
    <t>Saparbaeva Madina</t>
  </si>
  <si>
    <t>Ongarbaeva Gulbanu</t>
  </si>
  <si>
    <t>Eshimbetova Madina</t>
  </si>
  <si>
    <t>Asadov Jahongir</t>
  </si>
  <si>
    <t>Madaminov Hasilbek</t>
  </si>
  <si>
    <t>Bayniyazov Ajiniyaz</t>
  </si>
  <si>
    <t>Akimniyazov Shuxrat</t>
  </si>
  <si>
    <t>Shomansurova Aziza</t>
  </si>
  <si>
    <t>Latipova Zarifa</t>
  </si>
  <si>
    <t>Ortiqov Mironshoh</t>
  </si>
  <si>
    <t>Abdurasulov Fayozbek</t>
  </si>
  <si>
    <t>Jollibayeva Barno</t>
  </si>
  <si>
    <t>Jo'raboyev Sardor</t>
  </si>
  <si>
    <t>Hamidjonov Oybek</t>
  </si>
  <si>
    <t>To'lanboyeva Mohlaroy</t>
  </si>
  <si>
    <t>Nagmuradov Farrux</t>
  </si>
  <si>
    <t>Abdumalikova Sevinch (Narpay)</t>
  </si>
  <si>
    <t>Sharifabonu Zaripova</t>
  </si>
  <si>
    <t>Muxtorova Feruzaxon</t>
  </si>
  <si>
    <t>Bahodorova Marjona</t>
  </si>
  <si>
    <t>Maxanova Aysultan</t>
  </si>
  <si>
    <t>Otamurodov Ozodbek (Narpay)</t>
  </si>
  <si>
    <t>Tojiyev Ixtiyorjon</t>
  </si>
  <si>
    <t>Esonboyev Muhammadrizo</t>
  </si>
  <si>
    <t>ARISTANBEKOVA ASEMAY</t>
  </si>
  <si>
    <t>Amanbaeva Jansaya</t>
  </si>
  <si>
    <t>Norboyev Dilshod (Narpay)</t>
  </si>
  <si>
    <t>Bobonazarov Suhrob (Narpay)</t>
  </si>
  <si>
    <t>Xudayberganova  Go'zalxon</t>
  </si>
  <si>
    <t>Bektoshev Fatxulla (Narpay)</t>
  </si>
  <si>
    <t>Nsanbaeva Gulzada</t>
  </si>
  <si>
    <t>Hayitqo'ziyeva Nazokat</t>
  </si>
  <si>
    <t>Qo'zibayev Shexnazar</t>
  </si>
  <si>
    <t>Norbo'tayev Sarvarbek (Narpay)</t>
  </si>
  <si>
    <t>Orinbayev Miyirbek</t>
  </si>
  <si>
    <t>Abdurashidova Gulnoza</t>
  </si>
  <si>
    <t>Shomurodova Sabrina</t>
  </si>
  <si>
    <t>Ergashev Nurmuhammad</t>
  </si>
  <si>
    <t>Kuralbayeva Diana</t>
  </si>
  <si>
    <t>Sayitmurodov Adham</t>
  </si>
  <si>
    <t>Umirbayev Diyorbek</t>
  </si>
  <si>
    <t>Tolqinova Zuhraxon</t>
  </si>
  <si>
    <t>Abdug'aniyev Nurzod (Narpay)</t>
  </si>
  <si>
    <t>Ismaylova Feruza</t>
  </si>
  <si>
    <t>Qarshiboyeva Lola (Narpay)</t>
  </si>
  <si>
    <t>Abduvalomov Muhammadali</t>
  </si>
  <si>
    <t>Raxmonqulova Odina</t>
  </si>
  <si>
    <t>Fayozxon</t>
  </si>
  <si>
    <t>Musobek Umarov</t>
  </si>
  <si>
    <t>Abdurahmonov Temur (Narpay)</t>
  </si>
  <si>
    <t>Qurbonova Shahnoza</t>
  </si>
  <si>
    <t>Jamoliddinov Chingiz</t>
  </si>
  <si>
    <t>Sundetbaev Janatbek</t>
  </si>
  <si>
    <t>Allambergenov Muxammeddin</t>
  </si>
  <si>
    <t>Jaksilikov Elbrus</t>
  </si>
  <si>
    <t>Abdujabbarov Quvonchbek</t>
  </si>
  <si>
    <t>Ro'ziboy X</t>
  </si>
  <si>
    <t>ISKENDEROVA MAXBUBA</t>
  </si>
  <si>
    <t>Dauletbayeva Gulasal</t>
  </si>
  <si>
    <t>Husanova Yulduzxon</t>
  </si>
  <si>
    <t>Boyxo‘rozova Zebo (Narpay)</t>
  </si>
  <si>
    <t>Aminjonov Mirabbos</t>
  </si>
  <si>
    <t>Tursinbaev Jasurbek</t>
  </si>
  <si>
    <t>Omonqulova Laylo (Narpay)</t>
  </si>
  <si>
    <t>O'mirzakova Gulmira</t>
  </si>
  <si>
    <t>Mirzaliyev Elbek</t>
  </si>
  <si>
    <t>Abdurazzaqov Diyorbek</t>
  </si>
  <si>
    <t>Quvonov Sardor</t>
  </si>
  <si>
    <t>Balxojayev Nurdaulet</t>
  </si>
  <si>
    <t>Ro'zimboyev Mirakbar</t>
  </si>
  <si>
    <t>Kutlimuratov Sardar</t>
  </si>
  <si>
    <t>Toshpo‘latov Humoyun (Narpay)</t>
  </si>
  <si>
    <t>O'serbaev Aydos</t>
  </si>
  <si>
    <t>Azatov Akbar</t>
  </si>
  <si>
    <t>Ravshanov Diyor</t>
  </si>
  <si>
    <t>Sunatillo</t>
  </si>
  <si>
    <t>Kungradbaev Ali</t>
  </si>
  <si>
    <t>Jalg'asbaev Sardar</t>
  </si>
  <si>
    <t>Uzaqbaev Behruz</t>
  </si>
  <si>
    <t>Jumanova Zeboxon</t>
  </si>
  <si>
    <t>Yuldashov Gafur</t>
  </si>
  <si>
    <t>Shernafasov Sanjar (Narpay)</t>
  </si>
  <si>
    <t>Nabiyeva Gavhar</t>
  </si>
  <si>
    <t>Tog'ayev Shaxriyor</t>
  </si>
  <si>
    <t>Iskandarov Musoxo‘ja (Narpay)</t>
  </si>
  <si>
    <t>Alisherov Ne`matjon</t>
  </si>
  <si>
    <t>Nalchebayeva  Maftuna</t>
  </si>
  <si>
    <t>Bozorqulov Mironshoh</t>
  </si>
  <si>
    <t>To'raqulov Javlon</t>
  </si>
  <si>
    <t>Kengesbaev Sundetbek</t>
  </si>
  <si>
    <t>Narzullayev Amrbek</t>
  </si>
  <si>
    <t>Toxtayev Bexruz</t>
  </si>
  <si>
    <t>Djaksibaeva Munira</t>
  </si>
  <si>
    <t>O'lmasov Shohjahon</t>
  </si>
  <si>
    <t>Buriyeva Mohira</t>
  </si>
  <si>
    <t>Haydarova Gulnozaxon</t>
  </si>
  <si>
    <t>Jiyemuratov Mirzohid</t>
  </si>
  <si>
    <t>Kungradbayev Sardar</t>
  </si>
  <si>
    <t>Olimov Ikromjon</t>
  </si>
  <si>
    <t>Kidirbaeva Araylim</t>
  </si>
  <si>
    <t>Urinbaev Sherali</t>
  </si>
  <si>
    <t>Suvonova Go‘zal (Narpay)</t>
  </si>
  <si>
    <t>Sobirjonov Samandar (Narpay)</t>
  </si>
  <si>
    <t>Kuralbayev Mansur</t>
  </si>
  <si>
    <t>Sharapov Behruz</t>
  </si>
  <si>
    <t>Yakipbaev Rinat</t>
  </si>
  <si>
    <t>Toshpo‘latov Sardor (Narpay)</t>
  </si>
  <si>
    <t>Qilichova Iroda (Narpay)</t>
  </si>
  <si>
    <t>Hasanov Dilshod (Narpay)</t>
  </si>
  <si>
    <r>
      <t>Otamirzayev  Murodjon</t>
    </r>
    <r>
      <rPr>
        <u/>
        <sz val="11"/>
        <rFont val="Cambria"/>
        <family val="1"/>
        <charset val="204"/>
      </rPr>
      <t>     </t>
    </r>
  </si>
  <si>
    <t>Mambetkerimova Gulbanu</t>
  </si>
  <si>
    <t>Bekmurodov Shoxruh</t>
  </si>
  <si>
    <t>SATIMBOEV SHOXRUX</t>
  </si>
  <si>
    <t>Abduqosimov Sardor</t>
  </si>
  <si>
    <t>Mahmudjon Meliqo'ziyev</t>
  </si>
  <si>
    <r>
      <t>Sayfiddinov  Xurshidbek</t>
    </r>
    <r>
      <rPr>
        <u/>
        <sz val="11"/>
        <rFont val="Cambria"/>
        <family val="1"/>
        <charset val="204"/>
      </rPr>
      <t>     </t>
    </r>
  </si>
  <si>
    <t>Habibullayev Shahrux</t>
  </si>
  <si>
    <t>Musurmonova Xosila</t>
  </si>
  <si>
    <t>Davlatova Nigora</t>
  </si>
  <si>
    <t>Muxlisa Ochilova</t>
  </si>
  <si>
    <t>Tayirov Muhammadali</t>
  </si>
  <si>
    <t>Ashirbayev Behruz</t>
  </si>
  <si>
    <t>Hazratov Alisher</t>
  </si>
  <si>
    <t>Aralbaeva Qamajay</t>
  </si>
  <si>
    <t>Hamroqulov Hamro</t>
  </si>
  <si>
    <t>Qadamova Sarvinoz</t>
  </si>
  <si>
    <t>Adilov Ismet</t>
  </si>
  <si>
    <t>Kuralbaev Ulug'bek</t>
  </si>
  <si>
    <t>Satibaldiyeva Diana</t>
  </si>
  <si>
    <t>Youmitbayev Dilshod</t>
  </si>
  <si>
    <t>Baxtiyarova Gulchiroy</t>
  </si>
  <si>
    <t>Baxitbaev Xakimbek</t>
  </si>
  <si>
    <t>Boltayev Muhammadjon</t>
  </si>
  <si>
    <t>Fayzullayev Sherbek</t>
  </si>
  <si>
    <t>Azamatov Shohruz (Narpay)</t>
  </si>
  <si>
    <t>Alpisbaev Ramazan</t>
  </si>
  <si>
    <t>To'ychiyeva Farizoda</t>
  </si>
  <si>
    <r>
      <t>Abdubannayev  Abdusattor</t>
    </r>
    <r>
      <rPr>
        <u/>
        <sz val="11"/>
        <rFont val="Cambria"/>
        <family val="1"/>
        <charset val="204"/>
      </rPr>
      <t>     </t>
    </r>
  </si>
  <si>
    <t>Muratova Diana</t>
  </si>
  <si>
    <t>Sobirjonov Og‘abek (Narpay)</t>
  </si>
  <si>
    <t>Kalmuratov Sherzod</t>
  </si>
  <si>
    <t>Normurodov Sherxon (Narpay)</t>
  </si>
  <si>
    <t>Azatov Ruslan</t>
  </si>
  <si>
    <t>Kamiljanov Ruslan</t>
  </si>
  <si>
    <t>Haydarova Ruxshona</t>
  </si>
  <si>
    <t>Abduhakimova Dilafro'z</t>
  </si>
  <si>
    <t>Ermekbaeva Aqsungul</t>
  </si>
  <si>
    <t>Askarov Bozorjon</t>
  </si>
  <si>
    <t>Remetullaev Aydos</t>
  </si>
  <si>
    <t>Aralbaeva Eleonora</t>
  </si>
  <si>
    <t>Suyunov Ozodbek</t>
  </si>
  <si>
    <t>Qudratov Asadbek</t>
  </si>
  <si>
    <t>Azizbek O'rinboyev</t>
  </si>
  <si>
    <t>Tengelov Temur</t>
  </si>
  <si>
    <t>Vohidova Gulira'no</t>
  </si>
  <si>
    <t>Qudaybergenova Dinara</t>
  </si>
  <si>
    <t>Usmonova Zilola</t>
  </si>
  <si>
    <t>Musurmonov Nurislom</t>
  </si>
  <si>
    <t>Tengelova Shahzoda</t>
  </si>
  <si>
    <t>No'manov Ismoil</t>
  </si>
  <si>
    <t>Muhammadov sardor</t>
  </si>
  <si>
    <t>Saida</t>
  </si>
  <si>
    <t>Muxammadqulov Shoxjaxon</t>
  </si>
  <si>
    <t>Askarov Furxat</t>
  </si>
  <si>
    <t>Uraqov Jasur</t>
  </si>
  <si>
    <t>Abdusattorov Dilshod</t>
  </si>
  <si>
    <t>Quvondiqov Mansurbek</t>
  </si>
  <si>
    <t>Asrorbek Rasulov</t>
  </si>
  <si>
    <t>Maxsudova Umida</t>
  </si>
  <si>
    <t>Ashirbaeva Xurshida</t>
  </si>
  <si>
    <t>Abdurasulov Husan (Narpay)</t>
  </si>
  <si>
    <t>Nasriddinova Nilufar</t>
  </si>
  <si>
    <t>Uzaqbaev Azizbek</t>
  </si>
  <si>
    <t>Ro'ziboyev Shoxruz</t>
  </si>
  <si>
    <t>Norqobilova Madina (Narpay)</t>
  </si>
  <si>
    <t>Tileubergenova Munira</t>
  </si>
  <si>
    <t>Jalgasbaeva Jansaya</t>
  </si>
  <si>
    <t>Oblaqulova Yulduz (Narpay)</t>
  </si>
  <si>
    <t>Nazarov Nodirbek</t>
  </si>
  <si>
    <t>Turemuratova Dilbar</t>
  </si>
  <si>
    <t>Murodullayev Mirshod</t>
  </si>
  <si>
    <t>Norqulov Saidakbar</t>
  </si>
  <si>
    <t>Berdiqulova Farida (Narpay)</t>
  </si>
  <si>
    <t>Buburjon Odilov</t>
  </si>
  <si>
    <t>Norqulov Nozila</t>
  </si>
  <si>
    <t>Murodullayev Shohramon</t>
  </si>
  <si>
    <t>Rustamov Jaxangir</t>
  </si>
  <si>
    <t>Irisov Nozim</t>
  </si>
  <si>
    <t>Binokulov Sarvar</t>
  </si>
  <si>
    <t>Tajimuratova Aksana</t>
  </si>
  <si>
    <t>Kuralbaev Aziz</t>
  </si>
  <si>
    <t>Serikboyeva Dinara</t>
  </si>
  <si>
    <t>Pardayev Behruz</t>
  </si>
  <si>
    <t>Sagimbaeva Zamira</t>
  </si>
  <si>
    <t>Ganiyeva Bahora</t>
  </si>
  <si>
    <t>Shuhratullayev Abubakr</t>
  </si>
  <si>
    <t>Ochilov Ziyodullo</t>
  </si>
  <si>
    <t>Oqbo‘tayeva Charos (Narpay)</t>
  </si>
  <si>
    <t>Berdibekova Feruza</t>
  </si>
  <si>
    <t>RaXMONOVA zuhra</t>
  </si>
  <si>
    <t>Sardorbek Bahromjonov</t>
  </si>
  <si>
    <t>Sag'imbaeva Dinara</t>
  </si>
  <si>
    <t>Amantosheva Dilnora</t>
  </si>
  <si>
    <t>G‘ulomov Abbos (Narpay)</t>
  </si>
  <si>
    <t>Amankeldieva Nurayna</t>
  </si>
  <si>
    <t>Tursunov Mirzabek</t>
  </si>
  <si>
    <t>Ziyawatdinova Aytgul</t>
  </si>
  <si>
    <t>Sharifov Muhammaddillo</t>
  </si>
  <si>
    <t>Uralov Jahongir</t>
  </si>
  <si>
    <t>Adilxanova Aysanem</t>
  </si>
  <si>
    <t>Zaxirov Azizbek</t>
  </si>
  <si>
    <t>Abdullaeva Rayxon</t>
  </si>
  <si>
    <t>Maxramov Shohjahon</t>
  </si>
  <si>
    <t>Kitjanov Alimjan</t>
  </si>
  <si>
    <t>Turunboyeva Malohat</t>
  </si>
  <si>
    <t>Narbaev Atabek</t>
  </si>
  <si>
    <t>Shonazarov Muslimbek (Narpay)</t>
  </si>
  <si>
    <t>Kungratbaev Sherzod</t>
  </si>
  <si>
    <t>Mustafoyeva Zarina</t>
  </si>
  <si>
    <t>Abduzoirov Abrambek</t>
  </si>
  <si>
    <t>Yo'ldashov Shohrux</t>
  </si>
  <si>
    <t>Xudaybergenova Shahzoda</t>
  </si>
  <si>
    <t>Imomqulov Lochinbek</t>
  </si>
  <si>
    <t>Muhammadmirzo</t>
  </si>
  <si>
    <t>Shamsiddinov Azizbek</t>
  </si>
  <si>
    <t>Asadbek Davlatjonov</t>
  </si>
  <si>
    <t>Suyunqulov Lazizbek (Narpay)</t>
  </si>
  <si>
    <t>Mardonov Umidjon</t>
  </si>
  <si>
    <t>Shermuhammedov Muhammadamin</t>
  </si>
  <si>
    <t>Qozoqov Ozodbek (Narpay)</t>
  </si>
  <si>
    <t>Azamov Mansur (Narpay)</t>
  </si>
  <si>
    <t>Usmonov Abdulaziz</t>
  </si>
  <si>
    <t>Allashukirova Gulnaz</t>
  </si>
  <si>
    <t>Dauletbaev Ulug'bek</t>
  </si>
  <si>
    <t>Jumaqulov Sanjar</t>
  </si>
  <si>
    <t>Alloyorov To'rabek</t>
  </si>
  <si>
    <t>Begimqulov Begimqul</t>
  </si>
  <si>
    <t>Gonebaeva Shirin</t>
  </si>
  <si>
    <t>Axmatova Nargiza</t>
  </si>
  <si>
    <t>Zokirjonova Ruxshona</t>
  </si>
  <si>
    <t>Isroilova Ruxshona</t>
  </si>
  <si>
    <t>Nomozov Asqar</t>
  </si>
  <si>
    <t>Ostonov Shoxruz</t>
  </si>
  <si>
    <t>Murodova Ezozaza (Narpay)</t>
  </si>
  <si>
    <t>Ergasheva Laylo</t>
  </si>
  <si>
    <t>Kuandikov Diyorbek</t>
  </si>
  <si>
    <t>Djabbarov Dilshodbek</t>
  </si>
  <si>
    <t>Urazaliev Azamat</t>
  </si>
  <si>
    <t>Muratova Jasmin</t>
  </si>
  <si>
    <t>Maxsutbayev Sundet</t>
  </si>
  <si>
    <t>Dawletbayev Sherzad</t>
  </si>
  <si>
    <t>Abilgaziyeva Sandugash</t>
  </si>
  <si>
    <t>Ismagulov Sardar</t>
  </si>
  <si>
    <t>Kadirjanova Aysuliw</t>
  </si>
  <si>
    <t>--</t>
  </si>
  <si>
    <t>Umirzakova Eleonora</t>
  </si>
  <si>
    <t>Jangabaev Tursinbek</t>
  </si>
  <si>
    <t>Yeshniyazov Asadbek</t>
  </si>
  <si>
    <t>Muratov Nurtas</t>
  </si>
  <si>
    <t>Saparbaeva Rayhon</t>
  </si>
  <si>
    <t>Zivaddinov Eldos</t>
  </si>
  <si>
    <t>Qarjawbaev Sultan</t>
  </si>
  <si>
    <t>Muratbaeva Umida</t>
  </si>
  <si>
    <t>Oralbaeva Diana</t>
  </si>
  <si>
    <t>Jaksilikov Sardor</t>
  </si>
  <si>
    <t>Aydinbaev Asadbek</t>
  </si>
  <si>
    <t>Qarjawbaeva Aliya</t>
  </si>
  <si>
    <t>Ametov Maman</t>
  </si>
  <si>
    <t>Abdigaziev Rayimbek</t>
  </si>
  <si>
    <t>Narbaev Asadbek</t>
  </si>
  <si>
    <t>Sarsenbaev Artur</t>
  </si>
  <si>
    <t>Urazbaeva Nafisa</t>
  </si>
  <si>
    <t>Ibraimov Orazgali</t>
  </si>
  <si>
    <t>Umarbaev Yunus</t>
  </si>
  <si>
    <t>Aliyev Shohjahon</t>
  </si>
  <si>
    <t>Allashukirova Nodira</t>
  </si>
  <si>
    <t>Abilkairov Nurlibek</t>
  </si>
  <si>
    <t>Abdiramanov Jasur</t>
  </si>
  <si>
    <t>Oralbaeva Durdona</t>
  </si>
  <si>
    <t>Zinaddinov Kamoladdin</t>
  </si>
  <si>
    <t>Medetbaeva Aysuliw</t>
  </si>
  <si>
    <t>Jalgasov Samandar</t>
  </si>
  <si>
    <t>Rembayeva Jasmina</t>
  </si>
  <si>
    <t>Maxsudova Maxliyo</t>
  </si>
  <si>
    <t>Uzaqbaev Nurasil</t>
  </si>
  <si>
    <t>Jumambetov Adilbek</t>
  </si>
  <si>
    <t>Jangabaev Jasurbek</t>
  </si>
  <si>
    <t>Ikramova Durdona</t>
  </si>
  <si>
    <t>Tajigaliev Erbol</t>
  </si>
  <si>
    <t>Meneshov Ramziddin</t>
  </si>
  <si>
    <t>Quwatbaev Ruslan</t>
  </si>
  <si>
    <t>Pirnazarov Maqsud</t>
  </si>
  <si>
    <t xml:space="preserve">Qallixanov Sultanbek </t>
  </si>
  <si>
    <t>Kochkarova Diana</t>
  </si>
  <si>
    <t>Daniyarova Gulsevar</t>
  </si>
  <si>
    <t>Otewlieva Setora</t>
  </si>
  <si>
    <t>Koklenova Nazokat</t>
  </si>
  <si>
    <t>Aminov Jamol</t>
  </si>
  <si>
    <t>Akimbaev Aydin</t>
  </si>
  <si>
    <t>Yeshbolov Muhammadali</t>
  </si>
  <si>
    <t>Artikbaev Jasulan</t>
  </si>
  <si>
    <t>Jamuratova Julduzxan</t>
  </si>
  <si>
    <t>Nishanbaev Nawriz</t>
  </si>
  <si>
    <t>Tengelbaeva Jasmina</t>
  </si>
  <si>
    <t>Qoniratbaev Nurseyit</t>
  </si>
  <si>
    <t>Muratbaev Shaxrux Azamatovich</t>
  </si>
  <si>
    <t>Kuandikov Jasulan</t>
  </si>
  <si>
    <t>Maqsudullaeva Kamshat</t>
  </si>
  <si>
    <t>Allambergenov Raxman</t>
  </si>
  <si>
    <t>Sheripbaev Sardorbek</t>
  </si>
  <si>
    <t>Kuandikov Ulugbek</t>
  </si>
  <si>
    <t>Tangirberdiev Jahongir</t>
  </si>
  <si>
    <t>Ilxambaevich</t>
  </si>
  <si>
    <t>Djumabaeva Dinara</t>
  </si>
  <si>
    <t>Utemuratova Kamila</t>
  </si>
  <si>
    <t>Kurbanbaeva J</t>
  </si>
  <si>
    <t>Koptilewova Manar</t>
  </si>
  <si>
    <t>Amangeldiev Jahongir</t>
  </si>
  <si>
    <t>Qudaybergenov Quralbay</t>
  </si>
  <si>
    <t>Kuralbaeva Gulsevar</t>
  </si>
  <si>
    <t>Rejepov Daniyar</t>
  </si>
  <si>
    <t>Kenelbaeva Qunduz</t>
  </si>
  <si>
    <t>Parxatdinov Dilshodbek</t>
  </si>
  <si>
    <t>Umarbaev Nursaid</t>
  </si>
  <si>
    <t>Qudiyarov Atabek</t>
  </si>
  <si>
    <t>Karimov Xudaybergen</t>
  </si>
  <si>
    <t>Jarilkaganov Nurpeis</t>
  </si>
  <si>
    <t>Ongarbaeva Jasmina</t>
  </si>
  <si>
    <t>Janabaev Sardor</t>
  </si>
  <si>
    <t>Utegenov Nursultan</t>
  </si>
  <si>
    <t>Saatbaev Sardor</t>
  </si>
  <si>
    <t>F.I.O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</si>
</sst>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charset val="204"/>
    </font>
    <font>
      <sz val="11"/>
      <color theme="1"/>
      <name val="Cambria"/>
      <family val="1"/>
      <charset val="204"/>
    </font>
    <font>
      <i/>
      <sz val="11"/>
      <color theme="1"/>
      <name val="Cambria"/>
      <family val="1"/>
      <charset val="204"/>
    </font>
    <font>
      <b/>
      <sz val="11"/>
      <color rgb="FF000000"/>
      <name val="Cambria"/>
      <family val="1"/>
      <charset val="204"/>
    </font>
    <font>
      <sz val="11"/>
      <name val="Cambria"/>
      <family val="1"/>
      <charset val="204"/>
    </font>
    <font>
      <sz val="11"/>
      <color rgb="FF000000"/>
      <name val="Cambria"/>
      <family val="1"/>
      <charset val="204"/>
    </font>
    <font>
      <u/>
      <sz val="11"/>
      <name val="Cambria"/>
      <family val="1"/>
      <charset val="204"/>
    </font>
    <font>
      <b/>
      <sz val="14"/>
      <color rgb="FF000000"/>
      <name val="Cambria"/>
      <family val="1"/>
      <charset val="204"/>
    </font>
    <font>
      <sz val="14"/>
      <color theme="1"/>
      <name val="Cambria"/>
      <family val="1"/>
      <charset val="204"/>
    </font>
    <font>
      <sz val="14"/>
      <color rgb="FF000000"/>
      <name val="Cambria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5" fillId="0" borderId="9" xfId="0" applyFont="1" applyFill="1" applyBorder="1" applyAlignment="1">
      <alignment horizontal="left" vertical="top" wrapText="1"/>
    </xf>
    <xf numFmtId="1" fontId="6" fillId="0" borderId="9" xfId="0" applyNumberFormat="1" applyFont="1" applyFill="1" applyBorder="1" applyAlignment="1">
      <alignment horizontal="center" vertical="top" shrinkToFit="1"/>
    </xf>
    <xf numFmtId="1" fontId="6" fillId="0" borderId="9" xfId="0" applyNumberFormat="1" applyFont="1" applyFill="1" applyBorder="1" applyAlignment="1">
      <alignment horizontal="left" vertical="top" shrinkToFit="1"/>
    </xf>
    <xf numFmtId="164" fontId="6" fillId="0" borderId="9" xfId="0" applyNumberFormat="1" applyFont="1" applyFill="1" applyBorder="1" applyAlignment="1">
      <alignment horizontal="left" vertical="top" shrinkToFit="1"/>
    </xf>
    <xf numFmtId="1" fontId="6" fillId="0" borderId="9" xfId="0" applyNumberFormat="1" applyFont="1" applyFill="1" applyBorder="1" applyAlignment="1">
      <alignment horizontal="right" vertical="top" shrinkToFit="1"/>
    </xf>
    <xf numFmtId="1" fontId="4" fillId="0" borderId="9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0" fillId="0" borderId="0" xfId="0" applyFill="1" applyAlignment="1">
      <alignment horizontal="center" vertical="center"/>
    </xf>
    <xf numFmtId="1" fontId="0" fillId="0" borderId="0" xfId="0" applyNumberFormat="1" applyFill="1"/>
    <xf numFmtId="0" fontId="5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applyFill="1"/>
    <xf numFmtId="0" fontId="2" fillId="2" borderId="1" xfId="0" applyFont="1" applyFill="1" applyBorder="1"/>
    <xf numFmtId="0" fontId="0" fillId="0" borderId="0" xfId="0" applyFill="1"/>
    <xf numFmtId="1" fontId="6" fillId="0" borderId="1" xfId="0" applyNumberFormat="1" applyFont="1" applyFill="1" applyBorder="1" applyAlignment="1">
      <alignment horizontal="left" vertical="top" shrinkToFit="1"/>
    </xf>
    <xf numFmtId="0" fontId="2" fillId="2" borderId="1" xfId="0" applyFont="1" applyFill="1" applyBorder="1"/>
    <xf numFmtId="0" fontId="5" fillId="0" borderId="9" xfId="0" applyFont="1" applyFill="1" applyBorder="1" applyAlignment="1">
      <alignment horizontal="left" vertical="top" wrapText="1"/>
    </xf>
    <xf numFmtId="1" fontId="6" fillId="0" borderId="9" xfId="0" applyNumberFormat="1" applyFont="1" applyFill="1" applyBorder="1" applyAlignment="1">
      <alignment horizontal="left" vertical="top" shrinkToFi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1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0" fillId="0" borderId="1" xfId="0" applyFill="1" applyBorder="1"/>
    <xf numFmtId="1" fontId="0" fillId="0" borderId="1" xfId="0" applyNumberFormat="1" applyFill="1" applyBorder="1"/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0" borderId="0" xfId="0" applyFill="1"/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9" fillId="0" borderId="0" xfId="0" applyFont="1"/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10" fillId="9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vertical="center"/>
    </xf>
    <xf numFmtId="0" fontId="10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vertical="center" wrapText="1"/>
    </xf>
    <xf numFmtId="0" fontId="10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vertical="center"/>
    </xf>
    <xf numFmtId="0" fontId="10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vertical="center"/>
    </xf>
    <xf numFmtId="0" fontId="10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vertical="center"/>
    </xf>
    <xf numFmtId="0" fontId="9" fillId="6" borderId="1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/>
    </xf>
    <xf numFmtId="0" fontId="10" fillId="11" borderId="7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vertical="center" wrapText="1"/>
    </xf>
    <xf numFmtId="0" fontId="10" fillId="11" borderId="8" xfId="0" applyFont="1" applyFill="1" applyBorder="1" applyAlignment="1">
      <alignment horizontal="center" vertical="center"/>
    </xf>
    <xf numFmtId="0" fontId="10" fillId="11" borderId="8" xfId="0" quotePrefix="1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96FA7"/>
      <color rgb="FFB4500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7"/>
  <sheetViews>
    <sheetView zoomScaleNormal="100" workbookViewId="0">
      <pane ySplit="1" topLeftCell="A2" activePane="bottomLeft" state="frozen"/>
      <selection pane="bottomLeft" activeCell="B121" sqref="A1:BN127"/>
    </sheetView>
  </sheetViews>
  <sheetFormatPr defaultColWidth="9.1328125" defaultRowHeight="14.25" x14ac:dyDescent="0.45"/>
  <cols>
    <col min="1" max="1" width="5.1328125" style="26" bestFit="1" customWidth="1"/>
    <col min="2" max="2" width="31.1328125" style="19" bestFit="1" customWidth="1"/>
    <col min="3" max="3" width="3.3984375" style="19" hidden="1" customWidth="1"/>
    <col min="4" max="17" width="3.73046875" style="48" hidden="1" customWidth="1"/>
    <col min="18" max="18" width="4.1328125" style="55" hidden="1" customWidth="1"/>
    <col min="19" max="38" width="3.73046875" style="48" hidden="1" customWidth="1"/>
    <col min="39" max="58" width="3.73046875" style="51" hidden="1" customWidth="1"/>
    <col min="59" max="59" width="14" style="19" hidden="1" customWidth="1"/>
    <col min="60" max="60" width="10.3984375" style="27" hidden="1" customWidth="1"/>
    <col min="61" max="61" width="8" style="19" hidden="1" customWidth="1"/>
    <col min="62" max="62" width="5.59765625" style="19" hidden="1" customWidth="1"/>
    <col min="63" max="63" width="4.86328125" style="19" hidden="1" customWidth="1"/>
    <col min="64" max="64" width="5.59765625" style="19" hidden="1" customWidth="1"/>
    <col min="65" max="65" width="6.3984375" style="19" bestFit="1" customWidth="1"/>
    <col min="66" max="66" width="8.59765625" style="19" bestFit="1" customWidth="1"/>
    <col min="67" max="16384" width="9.1328125" style="19"/>
  </cols>
  <sheetData>
    <row r="1" spans="1:66" x14ac:dyDescent="0.45">
      <c r="A1" s="20"/>
      <c r="B1" s="85"/>
      <c r="C1" s="85"/>
      <c r="D1" s="46">
        <v>1</v>
      </c>
      <c r="E1" s="46">
        <v>2</v>
      </c>
      <c r="F1" s="46">
        <v>3</v>
      </c>
      <c r="G1" s="46">
        <v>4</v>
      </c>
      <c r="H1" s="46">
        <v>5</v>
      </c>
      <c r="I1" s="46">
        <v>6</v>
      </c>
      <c r="J1" s="46">
        <v>7</v>
      </c>
      <c r="K1" s="46">
        <v>8</v>
      </c>
      <c r="L1" s="46">
        <v>9</v>
      </c>
      <c r="M1" s="46">
        <v>10</v>
      </c>
      <c r="N1" s="46">
        <v>11</v>
      </c>
      <c r="O1" s="46">
        <v>12</v>
      </c>
      <c r="P1" s="46">
        <v>13</v>
      </c>
      <c r="Q1" s="46">
        <v>14</v>
      </c>
      <c r="R1" s="53">
        <v>15</v>
      </c>
      <c r="S1" s="46">
        <v>16</v>
      </c>
      <c r="T1" s="46">
        <v>17</v>
      </c>
      <c r="U1" s="46">
        <v>18</v>
      </c>
      <c r="V1" s="46">
        <v>19</v>
      </c>
      <c r="W1" s="46">
        <v>20</v>
      </c>
      <c r="X1" s="46">
        <v>21</v>
      </c>
      <c r="Y1" s="46">
        <v>22</v>
      </c>
      <c r="Z1" s="46">
        <v>23</v>
      </c>
      <c r="AA1" s="46">
        <v>24</v>
      </c>
      <c r="AB1" s="46">
        <v>25</v>
      </c>
      <c r="AC1" s="46">
        <v>26</v>
      </c>
      <c r="AD1" s="46">
        <v>27</v>
      </c>
      <c r="AE1" s="46">
        <v>28</v>
      </c>
      <c r="AF1" s="46">
        <v>29</v>
      </c>
      <c r="AG1" s="46">
        <v>30</v>
      </c>
      <c r="AH1" s="46">
        <v>31</v>
      </c>
      <c r="AI1" s="46">
        <v>32</v>
      </c>
      <c r="AJ1" s="46">
        <v>33</v>
      </c>
      <c r="AK1" s="46">
        <v>34</v>
      </c>
      <c r="AL1" s="46">
        <v>35</v>
      </c>
      <c r="AM1" s="49">
        <v>36</v>
      </c>
      <c r="AN1" s="49">
        <v>36</v>
      </c>
      <c r="AO1" s="49">
        <v>37</v>
      </c>
      <c r="AP1" s="49">
        <v>37</v>
      </c>
      <c r="AQ1" s="49">
        <v>38</v>
      </c>
      <c r="AR1" s="49">
        <v>38</v>
      </c>
      <c r="AS1" s="49">
        <v>39</v>
      </c>
      <c r="AT1" s="49">
        <v>39</v>
      </c>
      <c r="AU1" s="49">
        <v>40</v>
      </c>
      <c r="AV1" s="49">
        <v>40</v>
      </c>
      <c r="AW1" s="49">
        <v>41</v>
      </c>
      <c r="AX1" s="49">
        <v>41</v>
      </c>
      <c r="AY1" s="49">
        <v>42</v>
      </c>
      <c r="AZ1" s="49">
        <v>42</v>
      </c>
      <c r="BA1" s="49">
        <v>43</v>
      </c>
      <c r="BB1" s="49">
        <v>43</v>
      </c>
      <c r="BC1" s="49">
        <v>44</v>
      </c>
      <c r="BD1" s="49">
        <v>44</v>
      </c>
      <c r="BE1" s="49">
        <v>45</v>
      </c>
      <c r="BF1" s="49">
        <v>45</v>
      </c>
      <c r="BG1" s="20" t="s">
        <v>0</v>
      </c>
      <c r="BH1" s="21" t="s">
        <v>1</v>
      </c>
      <c r="BI1" s="22" t="s">
        <v>13</v>
      </c>
      <c r="BJ1" s="22" t="s">
        <v>2</v>
      </c>
      <c r="BK1" s="22" t="s">
        <v>3</v>
      </c>
      <c r="BL1" s="22" t="s">
        <v>4</v>
      </c>
      <c r="BM1" s="20" t="s">
        <v>11</v>
      </c>
      <c r="BN1" s="20" t="s">
        <v>12</v>
      </c>
    </row>
    <row r="2" spans="1:66" x14ac:dyDescent="0.45">
      <c r="A2" s="20">
        <v>1</v>
      </c>
      <c r="B2" s="28" t="s">
        <v>18</v>
      </c>
      <c r="C2" s="22">
        <f>SUM(D2:BF2)</f>
        <v>48</v>
      </c>
      <c r="D2" s="47">
        <v>1</v>
      </c>
      <c r="E2" s="47">
        <v>1</v>
      </c>
      <c r="F2" s="47">
        <v>1</v>
      </c>
      <c r="G2" s="47">
        <v>1</v>
      </c>
      <c r="H2" s="47">
        <v>0</v>
      </c>
      <c r="I2" s="47">
        <v>1</v>
      </c>
      <c r="J2" s="47">
        <v>1</v>
      </c>
      <c r="K2" s="47">
        <v>1</v>
      </c>
      <c r="L2" s="47">
        <v>1</v>
      </c>
      <c r="M2" s="47">
        <v>1</v>
      </c>
      <c r="N2" s="47">
        <v>1</v>
      </c>
      <c r="O2" s="47">
        <v>1</v>
      </c>
      <c r="P2" s="47">
        <v>1</v>
      </c>
      <c r="Q2" s="47">
        <v>0</v>
      </c>
      <c r="R2" s="54">
        <v>0</v>
      </c>
      <c r="S2" s="47">
        <v>1</v>
      </c>
      <c r="T2" s="47">
        <v>1</v>
      </c>
      <c r="U2" s="47">
        <v>1</v>
      </c>
      <c r="V2" s="47">
        <v>1</v>
      </c>
      <c r="W2" s="47">
        <v>1</v>
      </c>
      <c r="X2" s="47">
        <v>1</v>
      </c>
      <c r="Y2" s="47">
        <v>1</v>
      </c>
      <c r="Z2" s="47">
        <v>1</v>
      </c>
      <c r="AA2" s="47">
        <v>1</v>
      </c>
      <c r="AB2" s="47">
        <v>1</v>
      </c>
      <c r="AC2" s="47">
        <v>1</v>
      </c>
      <c r="AD2" s="47">
        <v>1</v>
      </c>
      <c r="AE2" s="47">
        <v>1</v>
      </c>
      <c r="AF2" s="47">
        <v>1</v>
      </c>
      <c r="AG2" s="47">
        <v>1</v>
      </c>
      <c r="AH2" s="47">
        <v>1</v>
      </c>
      <c r="AI2" s="47">
        <v>1</v>
      </c>
      <c r="AJ2" s="47">
        <v>1</v>
      </c>
      <c r="AK2" s="47">
        <v>1</v>
      </c>
      <c r="AL2" s="47">
        <v>1</v>
      </c>
      <c r="AM2" s="50">
        <v>1</v>
      </c>
      <c r="AN2" s="50">
        <v>1</v>
      </c>
      <c r="AO2" s="50">
        <v>1</v>
      </c>
      <c r="AP2" s="50">
        <v>0</v>
      </c>
      <c r="AQ2" s="50">
        <v>1</v>
      </c>
      <c r="AR2" s="50">
        <v>1</v>
      </c>
      <c r="AS2" s="50">
        <v>1</v>
      </c>
      <c r="AT2" s="50">
        <v>1</v>
      </c>
      <c r="AU2" s="50">
        <v>1</v>
      </c>
      <c r="AV2" s="50">
        <v>1</v>
      </c>
      <c r="AW2" s="50">
        <v>1</v>
      </c>
      <c r="AX2" s="50">
        <v>1</v>
      </c>
      <c r="AY2" s="50">
        <v>1</v>
      </c>
      <c r="AZ2" s="50">
        <v>1</v>
      </c>
      <c r="BA2" s="50">
        <v>1</v>
      </c>
      <c r="BB2" s="50">
        <v>1</v>
      </c>
      <c r="BC2" s="50">
        <v>0</v>
      </c>
      <c r="BD2" s="50">
        <v>1</v>
      </c>
      <c r="BE2" s="50">
        <v>0</v>
      </c>
      <c r="BF2" s="50">
        <v>0</v>
      </c>
      <c r="BG2" s="41">
        <f>D2*$D$127+E2*$E$127+F2*$F$127+G2*$G$127+H2*$H$127+I2*$I$127+J2*$J$127+K2*$K$127+L2*$L$127+M2*$M$127+N2*$N$127+O2*$O$127+P2*$P$127+Q2*$Q$127+R2*$R$127+S2*$S$127+T2*$T$127+U2*$U$127+V2*$V$127+W2*W$127+X2*$X$127+Y2*$Y$127+Z2*$Z$127+AA2*$AA$127+AB2*$AB$127+AC2*$AC$127+AD2*$AD$127+AE2*$AE$127+AF2*$AF$127+AG2*$AG$127+AH2*$AH$127+AI2*$AI$127+AJ2*$AJ$127+AK2*$AK$127+AL2*$AL$127+AM2*$AM$127+AN2*$AN$127+AO2*$AO$127+AP2*$AP$127+AQ2*$AQ$127+AR2*$AR$127+AS2*$AS$127+AT2*$AT$127+AU2*$AU$127+AV2*$AV$127+AW2*$AW$127+AX2*$AX$127+AY2*$AY$127+AZ2*$AZ$127+BA2*$BA$127+BB2*$BB$127+BC2*$BC$127+BD2*$BD$127+BE2*$BE$127+BF2*$BF$127</f>
        <v>176.44144601973153</v>
      </c>
      <c r="BH2" s="41">
        <f>$BG$127-BG2</f>
        <v>38.84919117453515</v>
      </c>
      <c r="BI2" s="42">
        <f>LN(BG2/IF(BH2=0,1,BH2))</f>
        <v>1.513301813326877</v>
      </c>
      <c r="BJ2" s="42">
        <f>AVERAGE($BI$2:$BI$122)</f>
        <v>-0.72215595438284452</v>
      </c>
      <c r="BK2" s="23">
        <f>_xlfn.STDEV.S($BI$2:$BI$122)</f>
        <v>0.74804000699260065</v>
      </c>
      <c r="BL2" s="23">
        <f>(BI2-BJ2)/BK2</f>
        <v>2.9884200668585814</v>
      </c>
      <c r="BM2" s="23">
        <f>50+10*BL2</f>
        <v>79.884200668585805</v>
      </c>
      <c r="BN2" s="22" t="str">
        <f>IF(BM2&lt;45,"NC",IF(BM2&lt;50,"C",IF(BM2&lt;55,"C+",IF(BM2&lt;60,"B",IF(BM2&lt;65,"B+",IF(BM2&lt;=70,"A","A+"))))))</f>
        <v>A+</v>
      </c>
    </row>
    <row r="3" spans="1:66" x14ac:dyDescent="0.45">
      <c r="A3" s="20">
        <v>2</v>
      </c>
      <c r="B3" s="28" t="s">
        <v>471</v>
      </c>
      <c r="C3" s="39">
        <f t="shared" ref="C3:C66" si="0">SUM(D3:BF3)</f>
        <v>46</v>
      </c>
      <c r="D3" s="47">
        <v>1</v>
      </c>
      <c r="E3" s="47">
        <v>1</v>
      </c>
      <c r="F3" s="47">
        <v>1</v>
      </c>
      <c r="G3" s="47">
        <v>1</v>
      </c>
      <c r="H3" s="47">
        <v>0</v>
      </c>
      <c r="I3" s="47">
        <v>1</v>
      </c>
      <c r="J3" s="47">
        <v>1</v>
      </c>
      <c r="K3" s="47">
        <v>0</v>
      </c>
      <c r="L3" s="47">
        <v>1</v>
      </c>
      <c r="M3" s="47">
        <v>1</v>
      </c>
      <c r="N3" s="47">
        <v>1</v>
      </c>
      <c r="O3" s="47">
        <v>1</v>
      </c>
      <c r="P3" s="47">
        <v>1</v>
      </c>
      <c r="Q3" s="47">
        <v>0</v>
      </c>
      <c r="R3" s="54">
        <v>0</v>
      </c>
      <c r="S3" s="47">
        <v>1</v>
      </c>
      <c r="T3" s="47">
        <v>1</v>
      </c>
      <c r="U3" s="47">
        <v>1</v>
      </c>
      <c r="V3" s="47">
        <v>1</v>
      </c>
      <c r="W3" s="47">
        <v>1</v>
      </c>
      <c r="X3" s="47">
        <v>1</v>
      </c>
      <c r="Y3" s="47">
        <v>1</v>
      </c>
      <c r="Z3" s="47">
        <v>1</v>
      </c>
      <c r="AA3" s="47">
        <v>1</v>
      </c>
      <c r="AB3" s="47">
        <v>1</v>
      </c>
      <c r="AC3" s="47">
        <v>1</v>
      </c>
      <c r="AD3" s="47">
        <v>1</v>
      </c>
      <c r="AE3" s="47">
        <v>1</v>
      </c>
      <c r="AF3" s="47">
        <v>1</v>
      </c>
      <c r="AG3" s="47">
        <v>1</v>
      </c>
      <c r="AH3" s="47">
        <v>0</v>
      </c>
      <c r="AI3" s="47">
        <v>1</v>
      </c>
      <c r="AJ3" s="47">
        <v>1</v>
      </c>
      <c r="AK3" s="47">
        <v>1</v>
      </c>
      <c r="AL3" s="47">
        <v>1</v>
      </c>
      <c r="AM3" s="50">
        <v>1</v>
      </c>
      <c r="AN3" s="50">
        <v>1</v>
      </c>
      <c r="AO3" s="50">
        <v>1</v>
      </c>
      <c r="AP3" s="50">
        <v>1</v>
      </c>
      <c r="AQ3" s="50">
        <v>1</v>
      </c>
      <c r="AR3" s="50">
        <v>1</v>
      </c>
      <c r="AS3" s="50">
        <v>1</v>
      </c>
      <c r="AT3" s="50">
        <v>1</v>
      </c>
      <c r="AU3" s="50">
        <v>0</v>
      </c>
      <c r="AV3" s="50">
        <v>0</v>
      </c>
      <c r="AW3" s="50">
        <v>1</v>
      </c>
      <c r="AX3" s="50">
        <v>1</v>
      </c>
      <c r="AY3" s="50">
        <v>1</v>
      </c>
      <c r="AZ3" s="50">
        <v>1</v>
      </c>
      <c r="BA3" s="50">
        <v>1</v>
      </c>
      <c r="BB3" s="50">
        <v>1</v>
      </c>
      <c r="BC3" s="50">
        <v>0</v>
      </c>
      <c r="BD3" s="50">
        <v>0</v>
      </c>
      <c r="BE3" s="50">
        <v>1</v>
      </c>
      <c r="BF3" s="50">
        <v>1</v>
      </c>
      <c r="BG3" s="41">
        <f t="shared" ref="BG3:BG66" si="1">D3*$D$127+E3*$E$127+F3*$F$127+G3*$G$127+H3*$H$127+I3*$I$127+J3*$J$127+K3*$K$127+L3*$L$127+M3*$M$127+N3*$N$127+O3*$O$127+P3*$P$127+Q3*$Q$127+R3*$R$127+S3*$S$127+T3*$T$127+U3*$U$127+V3*$V$127+W3*W$127+X3*$X$127+Y3*$Y$127+Z3*$Z$127+AA3*$AA$127+AB3*$AB$127+AC3*$AC$127+AD3*$AD$127+AE3*$AE$127+AF3*$AF$127+AG3*$AG$127+AH3*$AH$127+AI3*$AI$127+AJ3*$AJ$127+AK3*$AK$127+AL3*$AL$127+AM3*$AM$127+AN3*$AN$127+AO3*$AO$127+AP3*$AP$127+AQ3*$AQ$127+AR3*$AR$127+AS3*$AS$127+AT3*$AT$127+AU3*$AU$127+AV3*$AV$127+AW3*$AW$127+AX3*$AX$127+AY3*$AY$127+AZ3*$AZ$127+BA3*$BA$127+BB3*$BB$127+BC3*$BC$127+BD3*$BD$127+BE3*$BE$127+BF3*$BF$127</f>
        <v>176.00117805423648</v>
      </c>
      <c r="BH3" s="41">
        <f t="shared" ref="BH3:BH66" si="2">$BG$127-BG3</f>
        <v>39.289459140030203</v>
      </c>
      <c r="BI3" s="42">
        <f t="shared" ref="BI3:BI66" si="3">LN(BG3/IF(BH3=0,1,BH3))</f>
        <v>1.4995344208730694</v>
      </c>
      <c r="BJ3" s="42">
        <f t="shared" ref="BJ3:BJ66" si="4">AVERAGE($BI$2:$BI$122)</f>
        <v>-0.72215595438284452</v>
      </c>
      <c r="BK3" s="42">
        <f t="shared" ref="BK3:BK66" si="5">_xlfn.STDEV.S($BI$2:$BI$122)</f>
        <v>0.74804000699260065</v>
      </c>
      <c r="BL3" s="42">
        <f t="shared" ref="BL3:BL66" si="6">(BI3-BJ3)/BK3</f>
        <v>2.9700154463501711</v>
      </c>
      <c r="BM3" s="42">
        <f t="shared" ref="BM3:BM66" si="7">50+10*BL3</f>
        <v>79.700154463501718</v>
      </c>
      <c r="BN3" s="39" t="str">
        <f t="shared" ref="BN3:BN66" si="8">IF(BM3&lt;45,"NC",IF(BM3&lt;50,"C",IF(BM3&lt;55,"C+",IF(BM3&lt;60,"B",IF(BM3&lt;65,"B+",IF(BM3&lt;=70,"A","A+"))))))</f>
        <v>A+</v>
      </c>
    </row>
    <row r="4" spans="1:66" x14ac:dyDescent="0.45">
      <c r="A4" s="20">
        <v>3</v>
      </c>
      <c r="B4" s="28" t="s">
        <v>486</v>
      </c>
      <c r="C4" s="39">
        <f t="shared" si="0"/>
        <v>12</v>
      </c>
      <c r="D4" s="47">
        <v>0</v>
      </c>
      <c r="E4" s="47">
        <v>1</v>
      </c>
      <c r="F4" s="47">
        <v>0</v>
      </c>
      <c r="G4" s="47">
        <v>1</v>
      </c>
      <c r="H4" s="47">
        <v>1</v>
      </c>
      <c r="I4" s="47">
        <v>0</v>
      </c>
      <c r="J4" s="47">
        <v>1</v>
      </c>
      <c r="K4" s="47">
        <v>0</v>
      </c>
      <c r="L4" s="47">
        <v>1</v>
      </c>
      <c r="M4" s="47">
        <v>1</v>
      </c>
      <c r="N4" s="47">
        <v>0</v>
      </c>
      <c r="O4" s="47">
        <v>0</v>
      </c>
      <c r="P4" s="47">
        <v>0</v>
      </c>
      <c r="Q4" s="47">
        <v>0</v>
      </c>
      <c r="R4" s="54">
        <v>1</v>
      </c>
      <c r="S4" s="47">
        <v>1</v>
      </c>
      <c r="T4" s="47">
        <v>1</v>
      </c>
      <c r="U4" s="47">
        <v>1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47">
        <v>0</v>
      </c>
      <c r="AI4" s="47">
        <v>0</v>
      </c>
      <c r="AJ4" s="47">
        <v>0</v>
      </c>
      <c r="AK4" s="47">
        <v>0</v>
      </c>
      <c r="AL4" s="47">
        <v>1</v>
      </c>
      <c r="AM4" s="50">
        <v>1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0</v>
      </c>
      <c r="AX4" s="50">
        <v>0</v>
      </c>
      <c r="AY4" s="50">
        <v>0</v>
      </c>
      <c r="AZ4" s="50">
        <v>0</v>
      </c>
      <c r="BA4" s="50">
        <v>0</v>
      </c>
      <c r="BB4" s="50">
        <v>0</v>
      </c>
      <c r="BC4" s="50">
        <v>0</v>
      </c>
      <c r="BD4" s="50">
        <v>0</v>
      </c>
      <c r="BE4" s="50">
        <v>0</v>
      </c>
      <c r="BF4" s="50">
        <v>0</v>
      </c>
      <c r="BG4" s="41">
        <f t="shared" si="1"/>
        <v>35.548139140407208</v>
      </c>
      <c r="BH4" s="41">
        <f t="shared" si="2"/>
        <v>179.74249805385946</v>
      </c>
      <c r="BI4" s="42">
        <f t="shared" si="3"/>
        <v>-1.6206374502614753</v>
      </c>
      <c r="BJ4" s="42">
        <f t="shared" si="4"/>
        <v>-0.72215595438284452</v>
      </c>
      <c r="BK4" s="42">
        <f t="shared" si="5"/>
        <v>0.74804000699260065</v>
      </c>
      <c r="BL4" s="42">
        <f t="shared" si="6"/>
        <v>-1.2011142284900789</v>
      </c>
      <c r="BM4" s="42">
        <f t="shared" si="7"/>
        <v>37.988857715099215</v>
      </c>
      <c r="BN4" s="39" t="str">
        <f t="shared" si="8"/>
        <v>NC</v>
      </c>
    </row>
    <row r="5" spans="1:66" x14ac:dyDescent="0.45">
      <c r="A5" s="38">
        <v>4</v>
      </c>
      <c r="B5" s="33" t="s">
        <v>438</v>
      </c>
      <c r="C5" s="39">
        <f t="shared" si="0"/>
        <v>36</v>
      </c>
      <c r="D5" s="47">
        <v>1</v>
      </c>
      <c r="E5" s="47">
        <v>1</v>
      </c>
      <c r="F5" s="47">
        <v>1</v>
      </c>
      <c r="G5" s="47">
        <v>1</v>
      </c>
      <c r="H5" s="47">
        <v>1</v>
      </c>
      <c r="I5" s="47">
        <v>0</v>
      </c>
      <c r="J5" s="47">
        <v>1</v>
      </c>
      <c r="K5" s="47">
        <v>1</v>
      </c>
      <c r="L5" s="47">
        <v>1</v>
      </c>
      <c r="M5" s="47">
        <v>1</v>
      </c>
      <c r="N5" s="47">
        <v>1</v>
      </c>
      <c r="O5" s="47">
        <v>1</v>
      </c>
      <c r="P5" s="47">
        <v>1</v>
      </c>
      <c r="Q5" s="47">
        <v>0</v>
      </c>
      <c r="R5" s="54">
        <v>0</v>
      </c>
      <c r="S5" s="47">
        <v>0</v>
      </c>
      <c r="T5" s="47">
        <v>1</v>
      </c>
      <c r="U5" s="47">
        <v>1</v>
      </c>
      <c r="V5" s="47">
        <v>1</v>
      </c>
      <c r="W5" s="47">
        <v>1</v>
      </c>
      <c r="X5" s="47">
        <v>1</v>
      </c>
      <c r="Y5" s="47">
        <v>1</v>
      </c>
      <c r="Z5" s="47">
        <v>1</v>
      </c>
      <c r="AA5" s="47">
        <v>1</v>
      </c>
      <c r="AB5" s="47">
        <v>1</v>
      </c>
      <c r="AC5" s="47">
        <v>1</v>
      </c>
      <c r="AD5" s="47">
        <v>1</v>
      </c>
      <c r="AE5" s="47">
        <v>1</v>
      </c>
      <c r="AF5" s="47">
        <v>0</v>
      </c>
      <c r="AG5" s="47">
        <v>1</v>
      </c>
      <c r="AH5" s="47">
        <v>1</v>
      </c>
      <c r="AI5" s="47">
        <v>1</v>
      </c>
      <c r="AJ5" s="47">
        <v>1</v>
      </c>
      <c r="AK5" s="47">
        <v>1</v>
      </c>
      <c r="AL5" s="47">
        <v>1</v>
      </c>
      <c r="AM5" s="50">
        <v>1</v>
      </c>
      <c r="AN5" s="50">
        <v>1</v>
      </c>
      <c r="AO5" s="50">
        <v>0</v>
      </c>
      <c r="AP5" s="50">
        <v>0</v>
      </c>
      <c r="AQ5" s="50">
        <v>1</v>
      </c>
      <c r="AR5" s="50">
        <v>1</v>
      </c>
      <c r="AS5" s="50">
        <v>0</v>
      </c>
      <c r="AT5" s="50">
        <v>1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  <c r="AZ5" s="50">
        <v>1</v>
      </c>
      <c r="BA5" s="50">
        <v>0</v>
      </c>
      <c r="BB5" s="50">
        <v>0</v>
      </c>
      <c r="BC5" s="50">
        <v>0</v>
      </c>
      <c r="BD5" s="50">
        <v>0</v>
      </c>
      <c r="BE5" s="50">
        <v>0</v>
      </c>
      <c r="BF5" s="50">
        <v>0</v>
      </c>
      <c r="BG5" s="41">
        <f t="shared" si="1"/>
        <v>118.69640874914305</v>
      </c>
      <c r="BH5" s="41">
        <f t="shared" si="2"/>
        <v>96.594228445123633</v>
      </c>
      <c r="BI5" s="42">
        <f t="shared" si="3"/>
        <v>0.20605005381790817</v>
      </c>
      <c r="BJ5" s="42">
        <f t="shared" si="4"/>
        <v>-0.72215595438284452</v>
      </c>
      <c r="BK5" s="42">
        <f t="shared" si="5"/>
        <v>0.74804000699260065</v>
      </c>
      <c r="BL5" s="42">
        <f t="shared" si="6"/>
        <v>1.240850756007672</v>
      </c>
      <c r="BM5" s="42">
        <f t="shared" si="7"/>
        <v>62.408507560076721</v>
      </c>
      <c r="BN5" s="39" t="str">
        <f t="shared" si="8"/>
        <v>B+</v>
      </c>
    </row>
    <row r="6" spans="1:66" x14ac:dyDescent="0.45">
      <c r="A6" s="38">
        <v>5</v>
      </c>
      <c r="B6" s="33" t="s">
        <v>25</v>
      </c>
      <c r="C6" s="39">
        <f t="shared" si="0"/>
        <v>45</v>
      </c>
      <c r="D6" s="47">
        <v>0</v>
      </c>
      <c r="E6" s="47">
        <v>1</v>
      </c>
      <c r="F6" s="47">
        <v>1</v>
      </c>
      <c r="G6" s="47">
        <v>1</v>
      </c>
      <c r="H6" s="47">
        <v>1</v>
      </c>
      <c r="I6" s="47">
        <v>0</v>
      </c>
      <c r="J6" s="47">
        <v>1</v>
      </c>
      <c r="K6" s="47">
        <v>1</v>
      </c>
      <c r="L6" s="47">
        <v>1</v>
      </c>
      <c r="M6" s="47">
        <v>1</v>
      </c>
      <c r="N6" s="47">
        <v>1</v>
      </c>
      <c r="O6" s="47">
        <v>1</v>
      </c>
      <c r="P6" s="47">
        <v>1</v>
      </c>
      <c r="Q6" s="47">
        <v>1</v>
      </c>
      <c r="R6" s="54">
        <v>0</v>
      </c>
      <c r="S6" s="47">
        <v>1</v>
      </c>
      <c r="T6" s="47">
        <v>1</v>
      </c>
      <c r="U6" s="47">
        <v>1</v>
      </c>
      <c r="V6" s="47">
        <v>1</v>
      </c>
      <c r="W6" s="47">
        <v>1</v>
      </c>
      <c r="X6" s="47">
        <v>1</v>
      </c>
      <c r="Y6" s="47">
        <v>1</v>
      </c>
      <c r="Z6" s="47">
        <v>1</v>
      </c>
      <c r="AA6" s="47">
        <v>1</v>
      </c>
      <c r="AB6" s="47">
        <v>1</v>
      </c>
      <c r="AC6" s="47">
        <v>1</v>
      </c>
      <c r="AD6" s="47">
        <v>0</v>
      </c>
      <c r="AE6" s="47">
        <v>1</v>
      </c>
      <c r="AF6" s="47">
        <v>1</v>
      </c>
      <c r="AG6" s="47">
        <v>0</v>
      </c>
      <c r="AH6" s="47">
        <v>1</v>
      </c>
      <c r="AI6" s="47">
        <v>1</v>
      </c>
      <c r="AJ6" s="47">
        <v>1</v>
      </c>
      <c r="AK6" s="47">
        <v>1</v>
      </c>
      <c r="AL6" s="47">
        <v>1</v>
      </c>
      <c r="AM6" s="50">
        <v>1</v>
      </c>
      <c r="AN6" s="50">
        <v>1</v>
      </c>
      <c r="AO6" s="50">
        <v>1</v>
      </c>
      <c r="AP6" s="50">
        <v>0</v>
      </c>
      <c r="AQ6" s="50">
        <v>1</v>
      </c>
      <c r="AR6" s="50">
        <v>1</v>
      </c>
      <c r="AS6" s="50">
        <v>0</v>
      </c>
      <c r="AT6" s="50">
        <v>1</v>
      </c>
      <c r="AU6" s="50">
        <v>1</v>
      </c>
      <c r="AV6" s="50">
        <v>1</v>
      </c>
      <c r="AW6" s="50">
        <v>1</v>
      </c>
      <c r="AX6" s="50">
        <v>1</v>
      </c>
      <c r="AY6" s="50">
        <v>1</v>
      </c>
      <c r="AZ6" s="50">
        <v>1</v>
      </c>
      <c r="BA6" s="50">
        <v>0</v>
      </c>
      <c r="BB6" s="50">
        <v>1</v>
      </c>
      <c r="BC6" s="50">
        <v>1</v>
      </c>
      <c r="BD6" s="50">
        <v>1</v>
      </c>
      <c r="BE6" s="50">
        <v>0</v>
      </c>
      <c r="BF6" s="50">
        <v>0</v>
      </c>
      <c r="BG6" s="41">
        <f t="shared" si="1"/>
        <v>166.56786275588266</v>
      </c>
      <c r="BH6" s="41">
        <f t="shared" si="2"/>
        <v>48.722774438384022</v>
      </c>
      <c r="BI6" s="42">
        <f t="shared" si="3"/>
        <v>1.2292562421191668</v>
      </c>
      <c r="BJ6" s="42">
        <f t="shared" si="4"/>
        <v>-0.72215595438284452</v>
      </c>
      <c r="BK6" s="42">
        <f t="shared" si="5"/>
        <v>0.74804000699260065</v>
      </c>
      <c r="BL6" s="42">
        <f t="shared" si="6"/>
        <v>2.6087003078183146</v>
      </c>
      <c r="BM6" s="42">
        <f t="shared" si="7"/>
        <v>76.087003078183145</v>
      </c>
      <c r="BN6" s="39" t="str">
        <f t="shared" si="8"/>
        <v>A+</v>
      </c>
    </row>
    <row r="7" spans="1:66" x14ac:dyDescent="0.45">
      <c r="A7" s="38">
        <v>6</v>
      </c>
      <c r="B7" s="28" t="s">
        <v>468</v>
      </c>
      <c r="C7" s="39">
        <f t="shared" si="0"/>
        <v>36</v>
      </c>
      <c r="D7" s="47">
        <v>1</v>
      </c>
      <c r="E7" s="47">
        <v>1</v>
      </c>
      <c r="F7" s="47">
        <v>1</v>
      </c>
      <c r="G7" s="47">
        <v>1</v>
      </c>
      <c r="H7" s="47">
        <v>1</v>
      </c>
      <c r="I7" s="47">
        <v>0</v>
      </c>
      <c r="J7" s="47">
        <v>1</v>
      </c>
      <c r="K7" s="47">
        <v>1</v>
      </c>
      <c r="L7" s="47">
        <v>1</v>
      </c>
      <c r="M7" s="47">
        <v>1</v>
      </c>
      <c r="N7" s="47">
        <v>1</v>
      </c>
      <c r="O7" s="47">
        <v>1</v>
      </c>
      <c r="P7" s="47">
        <v>1</v>
      </c>
      <c r="Q7" s="47">
        <v>1</v>
      </c>
      <c r="R7" s="54">
        <v>0</v>
      </c>
      <c r="S7" s="47">
        <v>1</v>
      </c>
      <c r="T7" s="47">
        <v>1</v>
      </c>
      <c r="U7" s="47">
        <v>0</v>
      </c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0</v>
      </c>
      <c r="AB7" s="47">
        <v>0</v>
      </c>
      <c r="AC7" s="47">
        <v>0</v>
      </c>
      <c r="AD7" s="47">
        <v>0</v>
      </c>
      <c r="AE7" s="47">
        <v>1</v>
      </c>
      <c r="AF7" s="47">
        <v>0</v>
      </c>
      <c r="AG7" s="47">
        <v>1</v>
      </c>
      <c r="AH7" s="47">
        <v>1</v>
      </c>
      <c r="AI7" s="47">
        <v>1</v>
      </c>
      <c r="AJ7" s="47">
        <v>1</v>
      </c>
      <c r="AK7" s="47">
        <v>0</v>
      </c>
      <c r="AL7" s="47">
        <v>0</v>
      </c>
      <c r="AM7" s="50">
        <v>1</v>
      </c>
      <c r="AN7" s="50">
        <v>1</v>
      </c>
      <c r="AO7" s="50">
        <v>0</v>
      </c>
      <c r="AP7" s="50">
        <v>1</v>
      </c>
      <c r="AQ7" s="50">
        <v>1</v>
      </c>
      <c r="AR7" s="50">
        <v>1</v>
      </c>
      <c r="AS7" s="50">
        <v>0</v>
      </c>
      <c r="AT7" s="50">
        <v>1</v>
      </c>
      <c r="AU7" s="50">
        <v>1</v>
      </c>
      <c r="AV7" s="50">
        <v>1</v>
      </c>
      <c r="AW7" s="50">
        <v>0</v>
      </c>
      <c r="AX7" s="50">
        <v>0</v>
      </c>
      <c r="AY7" s="50">
        <v>0</v>
      </c>
      <c r="AZ7" s="50">
        <v>1</v>
      </c>
      <c r="BA7" s="50">
        <v>1</v>
      </c>
      <c r="BB7" s="50">
        <v>1</v>
      </c>
      <c r="BC7" s="50">
        <v>0</v>
      </c>
      <c r="BD7" s="50">
        <v>0</v>
      </c>
      <c r="BE7" s="50">
        <v>0</v>
      </c>
      <c r="BF7" s="50">
        <v>0</v>
      </c>
      <c r="BG7" s="41">
        <f t="shared" si="1"/>
        <v>125.16629267872646</v>
      </c>
      <c r="BH7" s="41">
        <f t="shared" si="2"/>
        <v>90.124344515540216</v>
      </c>
      <c r="BI7" s="42">
        <f t="shared" si="3"/>
        <v>0.328452872092516</v>
      </c>
      <c r="BJ7" s="42">
        <f t="shared" si="4"/>
        <v>-0.72215595438284452</v>
      </c>
      <c r="BK7" s="42">
        <f t="shared" si="5"/>
        <v>0.74804000699260065</v>
      </c>
      <c r="BL7" s="42">
        <f t="shared" si="6"/>
        <v>1.4044821355199961</v>
      </c>
      <c r="BM7" s="42">
        <f t="shared" si="7"/>
        <v>64.044821355199957</v>
      </c>
      <c r="BN7" s="39" t="str">
        <f t="shared" si="8"/>
        <v>B+</v>
      </c>
    </row>
    <row r="8" spans="1:66" x14ac:dyDescent="0.45">
      <c r="A8" s="38">
        <v>7</v>
      </c>
      <c r="B8" s="28" t="s">
        <v>509</v>
      </c>
      <c r="C8" s="39">
        <f t="shared" si="0"/>
        <v>11</v>
      </c>
      <c r="D8" s="47">
        <v>0</v>
      </c>
      <c r="E8" s="47">
        <v>1</v>
      </c>
      <c r="F8" s="47">
        <v>1</v>
      </c>
      <c r="G8" s="47">
        <v>1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54">
        <v>0</v>
      </c>
      <c r="S8" s="47">
        <v>1</v>
      </c>
      <c r="T8" s="47">
        <v>0</v>
      </c>
      <c r="U8" s="47">
        <v>1</v>
      </c>
      <c r="V8" s="47">
        <v>0</v>
      </c>
      <c r="W8" s="47">
        <v>1</v>
      </c>
      <c r="X8" s="47">
        <v>0</v>
      </c>
      <c r="Y8" s="47">
        <v>0</v>
      </c>
      <c r="Z8" s="47">
        <v>1</v>
      </c>
      <c r="AA8" s="47">
        <v>0</v>
      </c>
      <c r="AB8" s="47">
        <v>1</v>
      </c>
      <c r="AC8" s="47">
        <v>1</v>
      </c>
      <c r="AD8" s="47">
        <v>0</v>
      </c>
      <c r="AE8" s="47">
        <v>0</v>
      </c>
      <c r="AF8" s="47">
        <v>1</v>
      </c>
      <c r="AG8" s="47">
        <v>0</v>
      </c>
      <c r="AH8" s="47">
        <v>0</v>
      </c>
      <c r="AI8" s="47">
        <v>0</v>
      </c>
      <c r="AJ8" s="47">
        <v>0</v>
      </c>
      <c r="AK8" s="47">
        <v>0</v>
      </c>
      <c r="AL8" s="47">
        <v>0</v>
      </c>
      <c r="AM8" s="50">
        <v>1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0</v>
      </c>
      <c r="AW8" s="50">
        <v>0</v>
      </c>
      <c r="AX8" s="50">
        <v>0</v>
      </c>
      <c r="AY8" s="50">
        <v>0</v>
      </c>
      <c r="AZ8" s="50">
        <v>0</v>
      </c>
      <c r="BA8" s="50">
        <v>0</v>
      </c>
      <c r="BB8" s="50">
        <v>0</v>
      </c>
      <c r="BC8" s="50">
        <v>0</v>
      </c>
      <c r="BD8" s="50">
        <v>0</v>
      </c>
      <c r="BE8" s="50">
        <v>0</v>
      </c>
      <c r="BF8" s="50">
        <v>0</v>
      </c>
      <c r="BG8" s="41">
        <f t="shared" si="1"/>
        <v>32.659802602034532</v>
      </c>
      <c r="BH8" s="41">
        <f t="shared" si="2"/>
        <v>182.63083459223213</v>
      </c>
      <c r="BI8" s="42">
        <f t="shared" si="3"/>
        <v>-1.7213217745506748</v>
      </c>
      <c r="BJ8" s="42">
        <f t="shared" si="4"/>
        <v>-0.72215595438284452</v>
      </c>
      <c r="BK8" s="42">
        <f t="shared" si="5"/>
        <v>0.74804000699260065</v>
      </c>
      <c r="BL8" s="42">
        <f t="shared" si="6"/>
        <v>-1.3357117411204367</v>
      </c>
      <c r="BM8" s="42">
        <f t="shared" si="7"/>
        <v>36.642882588795629</v>
      </c>
      <c r="BN8" s="39" t="str">
        <f t="shared" si="8"/>
        <v>NC</v>
      </c>
    </row>
    <row r="9" spans="1:66" s="24" customFormat="1" ht="13.5" x14ac:dyDescent="0.35">
      <c r="A9" s="38">
        <v>8</v>
      </c>
      <c r="B9" s="28" t="s">
        <v>469</v>
      </c>
      <c r="C9" s="39">
        <f t="shared" si="0"/>
        <v>40</v>
      </c>
      <c r="D9" s="47">
        <v>0</v>
      </c>
      <c r="E9" s="47">
        <v>1</v>
      </c>
      <c r="F9" s="47">
        <v>1</v>
      </c>
      <c r="G9" s="47">
        <v>0</v>
      </c>
      <c r="H9" s="47">
        <v>1</v>
      </c>
      <c r="I9" s="47">
        <v>1</v>
      </c>
      <c r="J9" s="47">
        <v>1</v>
      </c>
      <c r="K9" s="47">
        <v>1</v>
      </c>
      <c r="L9" s="47">
        <v>1</v>
      </c>
      <c r="M9" s="47">
        <v>1</v>
      </c>
      <c r="N9" s="47">
        <v>1</v>
      </c>
      <c r="O9" s="47">
        <v>1</v>
      </c>
      <c r="P9" s="47">
        <v>1</v>
      </c>
      <c r="Q9" s="47">
        <v>1</v>
      </c>
      <c r="R9" s="54">
        <v>0</v>
      </c>
      <c r="S9" s="47">
        <v>1</v>
      </c>
      <c r="T9" s="47">
        <v>1</v>
      </c>
      <c r="U9" s="47">
        <v>1</v>
      </c>
      <c r="V9" s="47">
        <v>1</v>
      </c>
      <c r="W9" s="47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47">
        <v>0</v>
      </c>
      <c r="AD9" s="47">
        <v>0</v>
      </c>
      <c r="AE9" s="47">
        <v>1</v>
      </c>
      <c r="AF9" s="47">
        <v>1</v>
      </c>
      <c r="AG9" s="47">
        <v>0</v>
      </c>
      <c r="AH9" s="47">
        <v>1</v>
      </c>
      <c r="AI9" s="47">
        <v>1</v>
      </c>
      <c r="AJ9" s="47">
        <v>1</v>
      </c>
      <c r="AK9" s="47">
        <v>1</v>
      </c>
      <c r="AL9" s="47">
        <v>1</v>
      </c>
      <c r="AM9" s="50">
        <v>1</v>
      </c>
      <c r="AN9" s="50">
        <v>1</v>
      </c>
      <c r="AO9" s="50">
        <v>1</v>
      </c>
      <c r="AP9" s="50">
        <v>1</v>
      </c>
      <c r="AQ9" s="50">
        <v>1</v>
      </c>
      <c r="AR9" s="50">
        <v>1</v>
      </c>
      <c r="AS9" s="50">
        <v>0</v>
      </c>
      <c r="AT9" s="50">
        <v>1</v>
      </c>
      <c r="AU9" s="50">
        <v>0</v>
      </c>
      <c r="AV9" s="50">
        <v>0</v>
      </c>
      <c r="AW9" s="50">
        <v>0</v>
      </c>
      <c r="AX9" s="50">
        <v>0</v>
      </c>
      <c r="AY9" s="50">
        <v>1</v>
      </c>
      <c r="AZ9" s="50">
        <v>1</v>
      </c>
      <c r="BA9" s="50">
        <v>1</v>
      </c>
      <c r="BB9" s="50">
        <v>1</v>
      </c>
      <c r="BC9" s="50">
        <v>0</v>
      </c>
      <c r="BD9" s="50">
        <v>0</v>
      </c>
      <c r="BE9" s="50">
        <v>0</v>
      </c>
      <c r="BF9" s="50">
        <v>0</v>
      </c>
      <c r="BG9" s="41">
        <f t="shared" si="1"/>
        <v>139.54315122139701</v>
      </c>
      <c r="BH9" s="41">
        <f t="shared" si="2"/>
        <v>75.747485972869669</v>
      </c>
      <c r="BI9" s="42">
        <f t="shared" si="3"/>
        <v>0.61096862581964395</v>
      </c>
      <c r="BJ9" s="42">
        <f t="shared" si="4"/>
        <v>-0.72215595438284452</v>
      </c>
      <c r="BK9" s="42">
        <f t="shared" si="5"/>
        <v>0.74804000699260065</v>
      </c>
      <c r="BL9" s="42">
        <f t="shared" si="6"/>
        <v>1.782156793407542</v>
      </c>
      <c r="BM9" s="42">
        <f t="shared" si="7"/>
        <v>67.821567934075418</v>
      </c>
      <c r="BN9" s="39" t="str">
        <f t="shared" si="8"/>
        <v>A</v>
      </c>
    </row>
    <row r="10" spans="1:66" s="24" customFormat="1" ht="13.5" x14ac:dyDescent="0.35">
      <c r="A10" s="38">
        <v>9</v>
      </c>
      <c r="B10" s="28" t="s">
        <v>21</v>
      </c>
      <c r="C10" s="39">
        <f t="shared" si="0"/>
        <v>34</v>
      </c>
      <c r="D10" s="47">
        <v>0</v>
      </c>
      <c r="E10" s="47">
        <v>1</v>
      </c>
      <c r="F10" s="47">
        <v>0</v>
      </c>
      <c r="G10" s="47">
        <v>1</v>
      </c>
      <c r="H10" s="47">
        <v>0</v>
      </c>
      <c r="I10" s="47">
        <v>1</v>
      </c>
      <c r="J10" s="47">
        <v>1</v>
      </c>
      <c r="K10" s="47">
        <v>1</v>
      </c>
      <c r="L10" s="47">
        <v>1</v>
      </c>
      <c r="M10" s="47">
        <v>1</v>
      </c>
      <c r="N10" s="47">
        <v>1</v>
      </c>
      <c r="O10" s="47">
        <v>1</v>
      </c>
      <c r="P10" s="47">
        <v>1</v>
      </c>
      <c r="Q10" s="47">
        <v>1</v>
      </c>
      <c r="R10" s="54">
        <v>0</v>
      </c>
      <c r="S10" s="47">
        <v>0</v>
      </c>
      <c r="T10" s="47">
        <v>1</v>
      </c>
      <c r="U10" s="47">
        <v>1</v>
      </c>
      <c r="V10" s="47">
        <v>1</v>
      </c>
      <c r="W10" s="47">
        <v>1</v>
      </c>
      <c r="X10" s="47">
        <v>1</v>
      </c>
      <c r="Y10" s="47">
        <v>1</v>
      </c>
      <c r="Z10" s="47">
        <v>1</v>
      </c>
      <c r="AA10" s="47">
        <v>1</v>
      </c>
      <c r="AB10" s="47">
        <v>1</v>
      </c>
      <c r="AC10" s="47">
        <v>1</v>
      </c>
      <c r="AD10" s="47">
        <v>1</v>
      </c>
      <c r="AE10" s="47">
        <v>1</v>
      </c>
      <c r="AF10" s="47">
        <v>1</v>
      </c>
      <c r="AG10" s="47">
        <v>1</v>
      </c>
      <c r="AH10" s="47">
        <v>1</v>
      </c>
      <c r="AI10" s="47">
        <v>0</v>
      </c>
      <c r="AJ10" s="47">
        <v>1</v>
      </c>
      <c r="AK10" s="47">
        <v>1</v>
      </c>
      <c r="AL10" s="47">
        <v>1</v>
      </c>
      <c r="AM10" s="50">
        <v>1</v>
      </c>
      <c r="AN10" s="50">
        <v>1</v>
      </c>
      <c r="AO10" s="50">
        <v>0</v>
      </c>
      <c r="AP10" s="50">
        <v>1</v>
      </c>
      <c r="AQ10" s="50">
        <v>0</v>
      </c>
      <c r="AR10" s="50">
        <v>1</v>
      </c>
      <c r="AS10" s="50">
        <v>0</v>
      </c>
      <c r="AT10" s="50">
        <v>1</v>
      </c>
      <c r="AU10" s="50">
        <v>0</v>
      </c>
      <c r="AV10" s="50">
        <v>0</v>
      </c>
      <c r="AW10" s="50">
        <v>0</v>
      </c>
      <c r="AX10" s="50">
        <v>0</v>
      </c>
      <c r="AY10" s="50">
        <v>0</v>
      </c>
      <c r="AZ10" s="50">
        <v>0</v>
      </c>
      <c r="BA10" s="50">
        <v>0</v>
      </c>
      <c r="BB10" s="50">
        <v>0</v>
      </c>
      <c r="BC10" s="50">
        <v>0</v>
      </c>
      <c r="BD10" s="50">
        <v>0</v>
      </c>
      <c r="BE10" s="50">
        <v>0</v>
      </c>
      <c r="BF10" s="50">
        <v>0</v>
      </c>
      <c r="BG10" s="41">
        <f t="shared" si="1"/>
        <v>111.42255785408477</v>
      </c>
      <c r="BH10" s="41">
        <f t="shared" si="2"/>
        <v>103.86807934018191</v>
      </c>
      <c r="BI10" s="42">
        <f t="shared" si="3"/>
        <v>7.0208175123690805E-2</v>
      </c>
      <c r="BJ10" s="42">
        <f t="shared" si="4"/>
        <v>-0.72215595438284452</v>
      </c>
      <c r="BK10" s="42">
        <f t="shared" si="5"/>
        <v>0.74804000699260065</v>
      </c>
      <c r="BL10" s="42">
        <f t="shared" si="6"/>
        <v>1.0592536790807943</v>
      </c>
      <c r="BM10" s="42">
        <f t="shared" si="7"/>
        <v>60.592536790807941</v>
      </c>
      <c r="BN10" s="39" t="str">
        <f t="shared" si="8"/>
        <v>B+</v>
      </c>
    </row>
    <row r="11" spans="1:66" s="24" customFormat="1" ht="13.5" x14ac:dyDescent="0.35">
      <c r="A11" s="38">
        <v>10</v>
      </c>
      <c r="B11" s="28" t="s">
        <v>49</v>
      </c>
      <c r="C11" s="39">
        <f t="shared" si="0"/>
        <v>38</v>
      </c>
      <c r="D11" s="47">
        <v>1</v>
      </c>
      <c r="E11" s="47">
        <v>1</v>
      </c>
      <c r="F11" s="47">
        <v>1</v>
      </c>
      <c r="G11" s="47">
        <v>0</v>
      </c>
      <c r="H11" s="47">
        <v>1</v>
      </c>
      <c r="I11" s="47">
        <v>1</v>
      </c>
      <c r="J11" s="47">
        <v>1</v>
      </c>
      <c r="K11" s="47">
        <v>1</v>
      </c>
      <c r="L11" s="47">
        <v>1</v>
      </c>
      <c r="M11" s="47">
        <v>1</v>
      </c>
      <c r="N11" s="47">
        <v>1</v>
      </c>
      <c r="O11" s="47">
        <v>1</v>
      </c>
      <c r="P11" s="47">
        <v>1</v>
      </c>
      <c r="Q11" s="47">
        <v>1</v>
      </c>
      <c r="R11" s="54">
        <v>0</v>
      </c>
      <c r="S11" s="47">
        <v>0</v>
      </c>
      <c r="T11" s="47">
        <v>1</v>
      </c>
      <c r="U11" s="47">
        <v>0</v>
      </c>
      <c r="V11" s="47">
        <v>1</v>
      </c>
      <c r="W11" s="47">
        <v>1</v>
      </c>
      <c r="X11" s="47">
        <v>1</v>
      </c>
      <c r="Y11" s="47">
        <v>1</v>
      </c>
      <c r="Z11" s="47">
        <v>0</v>
      </c>
      <c r="AA11" s="47">
        <v>1</v>
      </c>
      <c r="AB11" s="47">
        <v>1</v>
      </c>
      <c r="AC11" s="47">
        <v>1</v>
      </c>
      <c r="AD11" s="47">
        <v>1</v>
      </c>
      <c r="AE11" s="47">
        <v>1</v>
      </c>
      <c r="AF11" s="47">
        <v>1</v>
      </c>
      <c r="AG11" s="47">
        <v>0</v>
      </c>
      <c r="AH11" s="47">
        <v>1</v>
      </c>
      <c r="AI11" s="47">
        <v>1</v>
      </c>
      <c r="AJ11" s="47">
        <v>1</v>
      </c>
      <c r="AK11" s="47">
        <v>1</v>
      </c>
      <c r="AL11" s="47">
        <v>1</v>
      </c>
      <c r="AM11" s="50">
        <v>1</v>
      </c>
      <c r="AN11" s="50">
        <v>0</v>
      </c>
      <c r="AO11" s="50">
        <v>0</v>
      </c>
      <c r="AP11" s="50">
        <v>0</v>
      </c>
      <c r="AQ11" s="50">
        <v>1</v>
      </c>
      <c r="AR11" s="50">
        <v>1</v>
      </c>
      <c r="AS11" s="50">
        <v>0</v>
      </c>
      <c r="AT11" s="50">
        <v>1</v>
      </c>
      <c r="AU11" s="50">
        <v>1</v>
      </c>
      <c r="AV11" s="50">
        <v>1</v>
      </c>
      <c r="AW11" s="50">
        <v>1</v>
      </c>
      <c r="AX11" s="50">
        <v>1</v>
      </c>
      <c r="AY11" s="50">
        <v>0</v>
      </c>
      <c r="AZ11" s="50">
        <v>1</v>
      </c>
      <c r="BA11" s="50">
        <v>0</v>
      </c>
      <c r="BB11" s="50">
        <v>0</v>
      </c>
      <c r="BC11" s="50">
        <v>0</v>
      </c>
      <c r="BD11" s="50">
        <v>0</v>
      </c>
      <c r="BE11" s="50">
        <v>0</v>
      </c>
      <c r="BF11" s="50">
        <v>0</v>
      </c>
      <c r="BG11" s="41">
        <f t="shared" si="1"/>
        <v>129.81141180915</v>
      </c>
      <c r="BH11" s="41">
        <f t="shared" si="2"/>
        <v>85.479225385116678</v>
      </c>
      <c r="BI11" s="42">
        <f t="shared" si="3"/>
        <v>0.41780935034484984</v>
      </c>
      <c r="BJ11" s="42">
        <f t="shared" si="4"/>
        <v>-0.72215595438284452</v>
      </c>
      <c r="BK11" s="42">
        <f t="shared" si="5"/>
        <v>0.74804000699260065</v>
      </c>
      <c r="BL11" s="42">
        <f t="shared" si="6"/>
        <v>1.5239362789040913</v>
      </c>
      <c r="BM11" s="42">
        <f t="shared" si="7"/>
        <v>65.239362789040911</v>
      </c>
      <c r="BN11" s="39" t="str">
        <f t="shared" si="8"/>
        <v>A</v>
      </c>
    </row>
    <row r="12" spans="1:66" s="24" customFormat="1" ht="13.5" x14ac:dyDescent="0.35">
      <c r="A12" s="38">
        <v>11</v>
      </c>
      <c r="B12" s="28" t="s">
        <v>491</v>
      </c>
      <c r="C12" s="39">
        <f t="shared" si="0"/>
        <v>27</v>
      </c>
      <c r="D12" s="47">
        <v>1</v>
      </c>
      <c r="E12" s="47">
        <v>1</v>
      </c>
      <c r="F12" s="47">
        <v>1</v>
      </c>
      <c r="G12" s="47">
        <v>0</v>
      </c>
      <c r="H12" s="47">
        <v>1</v>
      </c>
      <c r="I12" s="47">
        <v>1</v>
      </c>
      <c r="J12" s="47">
        <v>1</v>
      </c>
      <c r="K12" s="47">
        <v>1</v>
      </c>
      <c r="L12" s="47">
        <v>1</v>
      </c>
      <c r="M12" s="47">
        <v>1</v>
      </c>
      <c r="N12" s="47">
        <v>0</v>
      </c>
      <c r="O12" s="47">
        <v>1</v>
      </c>
      <c r="P12" s="47">
        <v>0</v>
      </c>
      <c r="Q12" s="47">
        <v>0</v>
      </c>
      <c r="R12" s="54">
        <v>0</v>
      </c>
      <c r="S12" s="47">
        <v>0</v>
      </c>
      <c r="T12" s="47">
        <v>1</v>
      </c>
      <c r="U12" s="47">
        <v>0</v>
      </c>
      <c r="V12" s="47">
        <v>1</v>
      </c>
      <c r="W12" s="47">
        <v>1</v>
      </c>
      <c r="X12" s="47">
        <v>0</v>
      </c>
      <c r="Y12" s="47">
        <v>1</v>
      </c>
      <c r="Z12" s="47">
        <v>1</v>
      </c>
      <c r="AA12" s="47">
        <v>1</v>
      </c>
      <c r="AB12" s="47">
        <v>1</v>
      </c>
      <c r="AC12" s="47">
        <v>1</v>
      </c>
      <c r="AD12" s="47">
        <v>0</v>
      </c>
      <c r="AE12" s="47">
        <v>0</v>
      </c>
      <c r="AF12" s="47">
        <v>1</v>
      </c>
      <c r="AG12" s="47">
        <v>0</v>
      </c>
      <c r="AH12" s="47">
        <v>0</v>
      </c>
      <c r="AI12" s="47">
        <v>0</v>
      </c>
      <c r="AJ12" s="47">
        <v>1</v>
      </c>
      <c r="AK12" s="47">
        <v>1</v>
      </c>
      <c r="AL12" s="47">
        <v>1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1</v>
      </c>
      <c r="AV12" s="50">
        <v>1</v>
      </c>
      <c r="AW12" s="50">
        <v>1</v>
      </c>
      <c r="AX12" s="50">
        <v>1</v>
      </c>
      <c r="AY12" s="50">
        <v>0</v>
      </c>
      <c r="AZ12" s="50">
        <v>0</v>
      </c>
      <c r="BA12" s="50">
        <v>0</v>
      </c>
      <c r="BB12" s="50">
        <v>1</v>
      </c>
      <c r="BC12" s="50">
        <v>0</v>
      </c>
      <c r="BD12" s="50">
        <v>0</v>
      </c>
      <c r="BE12" s="50">
        <v>0</v>
      </c>
      <c r="BF12" s="50">
        <v>0</v>
      </c>
      <c r="BG12" s="41">
        <f t="shared" si="1"/>
        <v>87.183180525184454</v>
      </c>
      <c r="BH12" s="41">
        <f t="shared" si="2"/>
        <v>128.10745666908224</v>
      </c>
      <c r="BI12" s="42">
        <f t="shared" si="3"/>
        <v>-0.38485798853445835</v>
      </c>
      <c r="BJ12" s="42">
        <f t="shared" si="4"/>
        <v>-0.72215595438284452</v>
      </c>
      <c r="BK12" s="42">
        <f t="shared" si="5"/>
        <v>0.74804000699260065</v>
      </c>
      <c r="BL12" s="42">
        <f t="shared" si="6"/>
        <v>0.45090899242735638</v>
      </c>
      <c r="BM12" s="42">
        <f t="shared" si="7"/>
        <v>54.509089924273567</v>
      </c>
      <c r="BN12" s="39" t="str">
        <f t="shared" si="8"/>
        <v>C+</v>
      </c>
    </row>
    <row r="13" spans="1:66" s="24" customFormat="1" ht="13.5" x14ac:dyDescent="0.35">
      <c r="A13" s="38">
        <v>12</v>
      </c>
      <c r="B13" s="28" t="s">
        <v>19</v>
      </c>
      <c r="C13" s="39">
        <f t="shared" si="0"/>
        <v>28</v>
      </c>
      <c r="D13" s="47">
        <v>1</v>
      </c>
      <c r="E13" s="47">
        <v>1</v>
      </c>
      <c r="F13" s="47">
        <v>0</v>
      </c>
      <c r="G13" s="47">
        <v>0</v>
      </c>
      <c r="H13" s="47">
        <v>1</v>
      </c>
      <c r="I13" s="47">
        <v>1</v>
      </c>
      <c r="J13" s="47">
        <v>1</v>
      </c>
      <c r="K13" s="47">
        <v>1</v>
      </c>
      <c r="L13" s="47">
        <v>1</v>
      </c>
      <c r="M13" s="47">
        <v>0</v>
      </c>
      <c r="N13" s="47">
        <v>0</v>
      </c>
      <c r="O13" s="47">
        <v>1</v>
      </c>
      <c r="P13" s="47">
        <v>1</v>
      </c>
      <c r="Q13" s="47">
        <v>1</v>
      </c>
      <c r="R13" s="54">
        <v>0</v>
      </c>
      <c r="S13" s="47">
        <v>1</v>
      </c>
      <c r="T13" s="47">
        <v>1</v>
      </c>
      <c r="U13" s="47">
        <v>1</v>
      </c>
      <c r="V13" s="47">
        <v>1</v>
      </c>
      <c r="W13" s="47">
        <v>0</v>
      </c>
      <c r="X13" s="47">
        <v>1</v>
      </c>
      <c r="Y13" s="47">
        <v>1</v>
      </c>
      <c r="Z13" s="47">
        <v>1</v>
      </c>
      <c r="AA13" s="47">
        <v>1</v>
      </c>
      <c r="AB13" s="47">
        <v>1</v>
      </c>
      <c r="AC13" s="47">
        <v>1</v>
      </c>
      <c r="AD13" s="47">
        <v>1</v>
      </c>
      <c r="AE13" s="47">
        <v>1</v>
      </c>
      <c r="AF13" s="47">
        <v>0</v>
      </c>
      <c r="AG13" s="47">
        <v>1</v>
      </c>
      <c r="AH13" s="47">
        <v>1</v>
      </c>
      <c r="AI13" s="47">
        <v>1</v>
      </c>
      <c r="AJ13" s="47">
        <v>0</v>
      </c>
      <c r="AK13" s="47">
        <v>0</v>
      </c>
      <c r="AL13" s="47">
        <v>0</v>
      </c>
      <c r="AM13" s="50">
        <v>0</v>
      </c>
      <c r="AN13" s="50">
        <v>0</v>
      </c>
      <c r="AO13" s="50">
        <v>0</v>
      </c>
      <c r="AP13" s="50">
        <v>1</v>
      </c>
      <c r="AQ13" s="50">
        <v>0</v>
      </c>
      <c r="AR13" s="50">
        <v>0</v>
      </c>
      <c r="AS13" s="50">
        <v>0</v>
      </c>
      <c r="AT13" s="50">
        <v>0</v>
      </c>
      <c r="AU13" s="50">
        <v>1</v>
      </c>
      <c r="AV13" s="50">
        <v>1</v>
      </c>
      <c r="AW13" s="50">
        <v>0</v>
      </c>
      <c r="AX13" s="50">
        <v>0</v>
      </c>
      <c r="AY13" s="50">
        <v>0</v>
      </c>
      <c r="AZ13" s="50">
        <v>0</v>
      </c>
      <c r="BA13" s="50">
        <v>0</v>
      </c>
      <c r="BB13" s="50">
        <v>0</v>
      </c>
      <c r="BC13" s="50">
        <v>0</v>
      </c>
      <c r="BD13" s="50">
        <v>0</v>
      </c>
      <c r="BE13" s="50">
        <v>0</v>
      </c>
      <c r="BF13" s="50">
        <v>0</v>
      </c>
      <c r="BG13" s="41">
        <f t="shared" si="1"/>
        <v>89.106205591257975</v>
      </c>
      <c r="BH13" s="41">
        <f t="shared" si="2"/>
        <v>126.1844316030087</v>
      </c>
      <c r="BI13" s="42">
        <f t="shared" si="3"/>
        <v>-0.34791560006476369</v>
      </c>
      <c r="BJ13" s="42">
        <f t="shared" si="4"/>
        <v>-0.72215595438284452</v>
      </c>
      <c r="BK13" s="42">
        <f t="shared" si="5"/>
        <v>0.74804000699260065</v>
      </c>
      <c r="BL13" s="42">
        <f t="shared" si="6"/>
        <v>0.50029457090492579</v>
      </c>
      <c r="BM13" s="42">
        <f t="shared" si="7"/>
        <v>55.002945709049257</v>
      </c>
      <c r="BN13" s="39" t="str">
        <f t="shared" si="8"/>
        <v>B</v>
      </c>
    </row>
    <row r="14" spans="1:66" s="24" customFormat="1" ht="13.5" x14ac:dyDescent="0.35">
      <c r="A14" s="38">
        <v>13</v>
      </c>
      <c r="B14" s="28" t="s">
        <v>16</v>
      </c>
      <c r="C14" s="39">
        <f t="shared" si="0"/>
        <v>32</v>
      </c>
      <c r="D14" s="47">
        <v>1</v>
      </c>
      <c r="E14" s="47">
        <v>1</v>
      </c>
      <c r="F14" s="47">
        <v>0</v>
      </c>
      <c r="G14" s="47">
        <v>1</v>
      </c>
      <c r="H14" s="47">
        <v>1</v>
      </c>
      <c r="I14" s="47">
        <v>1</v>
      </c>
      <c r="J14" s="47">
        <v>0</v>
      </c>
      <c r="K14" s="47">
        <v>0</v>
      </c>
      <c r="L14" s="47">
        <v>1</v>
      </c>
      <c r="M14" s="47">
        <v>1</v>
      </c>
      <c r="N14" s="47">
        <v>1</v>
      </c>
      <c r="O14" s="47">
        <v>0</v>
      </c>
      <c r="P14" s="47">
        <v>0</v>
      </c>
      <c r="Q14" s="47">
        <v>1</v>
      </c>
      <c r="R14" s="54">
        <v>0</v>
      </c>
      <c r="S14" s="47">
        <v>0</v>
      </c>
      <c r="T14" s="47">
        <v>1</v>
      </c>
      <c r="U14" s="47">
        <v>1</v>
      </c>
      <c r="V14" s="47">
        <v>1</v>
      </c>
      <c r="W14" s="47">
        <v>1</v>
      </c>
      <c r="X14" s="47">
        <v>1</v>
      </c>
      <c r="Y14" s="47">
        <v>1</v>
      </c>
      <c r="Z14" s="47">
        <v>1</v>
      </c>
      <c r="AA14" s="47">
        <v>1</v>
      </c>
      <c r="AB14" s="47">
        <v>1</v>
      </c>
      <c r="AC14" s="47">
        <v>1</v>
      </c>
      <c r="AD14" s="47">
        <v>1</v>
      </c>
      <c r="AE14" s="47">
        <v>0</v>
      </c>
      <c r="AF14" s="47">
        <v>0</v>
      </c>
      <c r="AG14" s="47">
        <v>0</v>
      </c>
      <c r="AH14" s="47">
        <v>1</v>
      </c>
      <c r="AI14" s="47">
        <v>0</v>
      </c>
      <c r="AJ14" s="47">
        <v>0</v>
      </c>
      <c r="AK14" s="47">
        <v>1</v>
      </c>
      <c r="AL14" s="47">
        <v>1</v>
      </c>
      <c r="AM14" s="50">
        <v>1</v>
      </c>
      <c r="AN14" s="50">
        <v>1</v>
      </c>
      <c r="AO14" s="50">
        <v>1</v>
      </c>
      <c r="AP14" s="50">
        <v>1</v>
      </c>
      <c r="AQ14" s="50">
        <v>1</v>
      </c>
      <c r="AR14" s="50">
        <v>1</v>
      </c>
      <c r="AS14" s="50">
        <v>1</v>
      </c>
      <c r="AT14" s="50">
        <v>1</v>
      </c>
      <c r="AU14" s="50">
        <v>0</v>
      </c>
      <c r="AV14" s="50">
        <v>0</v>
      </c>
      <c r="AW14" s="50">
        <v>0</v>
      </c>
      <c r="AX14" s="50">
        <v>0</v>
      </c>
      <c r="AY14" s="50">
        <v>0</v>
      </c>
      <c r="AZ14" s="50">
        <v>0</v>
      </c>
      <c r="BA14" s="50">
        <v>1</v>
      </c>
      <c r="BB14" s="50">
        <v>0</v>
      </c>
      <c r="BC14" s="50">
        <v>0</v>
      </c>
      <c r="BD14" s="50">
        <v>0</v>
      </c>
      <c r="BE14" s="50">
        <v>0</v>
      </c>
      <c r="BF14" s="50">
        <v>0</v>
      </c>
      <c r="BG14" s="41">
        <f t="shared" si="1"/>
        <v>110.72719823653159</v>
      </c>
      <c r="BH14" s="41">
        <f t="shared" si="2"/>
        <v>104.56343895773509</v>
      </c>
      <c r="BI14" s="42">
        <f t="shared" si="3"/>
        <v>5.7275544153090129E-2</v>
      </c>
      <c r="BJ14" s="42">
        <f t="shared" si="4"/>
        <v>-0.72215595438284452</v>
      </c>
      <c r="BK14" s="42">
        <f t="shared" si="5"/>
        <v>0.74804000699260065</v>
      </c>
      <c r="BL14" s="42">
        <f t="shared" si="6"/>
        <v>1.0419649901741745</v>
      </c>
      <c r="BM14" s="42">
        <f t="shared" si="7"/>
        <v>60.419649901741749</v>
      </c>
      <c r="BN14" s="39" t="str">
        <f t="shared" si="8"/>
        <v>B+</v>
      </c>
    </row>
    <row r="15" spans="1:66" s="24" customFormat="1" ht="13.5" x14ac:dyDescent="0.35">
      <c r="A15" s="38">
        <v>14</v>
      </c>
      <c r="B15" s="28" t="s">
        <v>511</v>
      </c>
      <c r="C15" s="39">
        <f t="shared" si="0"/>
        <v>24</v>
      </c>
      <c r="D15" s="47">
        <v>1</v>
      </c>
      <c r="E15" s="47">
        <v>1</v>
      </c>
      <c r="F15" s="47">
        <v>1</v>
      </c>
      <c r="G15" s="47">
        <v>1</v>
      </c>
      <c r="H15" s="47">
        <v>1</v>
      </c>
      <c r="I15" s="47">
        <v>1</v>
      </c>
      <c r="J15" s="47">
        <v>1</v>
      </c>
      <c r="K15" s="47">
        <v>0</v>
      </c>
      <c r="L15" s="47">
        <v>1</v>
      </c>
      <c r="M15" s="47">
        <v>1</v>
      </c>
      <c r="N15" s="47">
        <v>1</v>
      </c>
      <c r="O15" s="47">
        <v>1</v>
      </c>
      <c r="P15" s="47">
        <v>1</v>
      </c>
      <c r="Q15" s="47">
        <v>1</v>
      </c>
      <c r="R15" s="54">
        <v>0</v>
      </c>
      <c r="S15" s="47">
        <v>0</v>
      </c>
      <c r="T15" s="47">
        <v>1</v>
      </c>
      <c r="U15" s="47">
        <v>1</v>
      </c>
      <c r="V15" s="4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0</v>
      </c>
      <c r="AB15" s="47">
        <v>1</v>
      </c>
      <c r="AC15" s="47">
        <v>0</v>
      </c>
      <c r="AD15" s="47">
        <v>0</v>
      </c>
      <c r="AE15" s="47">
        <v>1</v>
      </c>
      <c r="AF15" s="47">
        <v>0</v>
      </c>
      <c r="AG15" s="47">
        <v>0</v>
      </c>
      <c r="AH15" s="47">
        <v>1</v>
      </c>
      <c r="AI15" s="47">
        <v>0</v>
      </c>
      <c r="AJ15" s="47">
        <v>0</v>
      </c>
      <c r="AK15" s="47">
        <v>0</v>
      </c>
      <c r="AL15" s="47">
        <v>0</v>
      </c>
      <c r="AM15" s="47">
        <v>1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50">
        <v>0</v>
      </c>
      <c r="BG15" s="41">
        <f t="shared" si="1"/>
        <v>69.812772887198605</v>
      </c>
      <c r="BH15" s="41">
        <f t="shared" si="2"/>
        <v>145.47786430706807</v>
      </c>
      <c r="BI15" s="42">
        <f t="shared" si="3"/>
        <v>-0.73420695401069169</v>
      </c>
      <c r="BJ15" s="42">
        <f t="shared" si="4"/>
        <v>-0.72215595438284452</v>
      </c>
      <c r="BK15" s="42">
        <f t="shared" si="5"/>
        <v>0.74804000699260065</v>
      </c>
      <c r="BL15" s="42">
        <f t="shared" si="6"/>
        <v>-1.6110100416014746E-2</v>
      </c>
      <c r="BM15" s="42">
        <f t="shared" si="7"/>
        <v>49.838898995839855</v>
      </c>
      <c r="BN15" s="39" t="str">
        <f t="shared" si="8"/>
        <v>C</v>
      </c>
    </row>
    <row r="16" spans="1:66" s="24" customFormat="1" ht="13.5" x14ac:dyDescent="0.35">
      <c r="A16" s="38">
        <v>15</v>
      </c>
      <c r="B16" s="28" t="s">
        <v>44</v>
      </c>
      <c r="C16" s="39">
        <f t="shared" si="0"/>
        <v>33</v>
      </c>
      <c r="D16" s="47">
        <v>0</v>
      </c>
      <c r="E16" s="47">
        <v>1</v>
      </c>
      <c r="F16" s="47">
        <v>0</v>
      </c>
      <c r="G16" s="47">
        <v>1</v>
      </c>
      <c r="H16" s="47">
        <v>0</v>
      </c>
      <c r="I16" s="47">
        <v>0</v>
      </c>
      <c r="J16" s="47">
        <v>1</v>
      </c>
      <c r="K16" s="47">
        <v>1</v>
      </c>
      <c r="L16" s="47">
        <v>1</v>
      </c>
      <c r="M16" s="47">
        <v>1</v>
      </c>
      <c r="N16" s="47">
        <v>0</v>
      </c>
      <c r="O16" s="47">
        <v>1</v>
      </c>
      <c r="P16" s="47">
        <v>1</v>
      </c>
      <c r="Q16" s="47">
        <v>1</v>
      </c>
      <c r="R16" s="54">
        <v>0</v>
      </c>
      <c r="S16" s="47">
        <v>1</v>
      </c>
      <c r="T16" s="47">
        <v>1</v>
      </c>
      <c r="U16" s="47">
        <v>1</v>
      </c>
      <c r="V16" s="47">
        <v>1</v>
      </c>
      <c r="W16" s="47">
        <v>1</v>
      </c>
      <c r="X16" s="47">
        <v>0</v>
      </c>
      <c r="Y16" s="47">
        <v>1</v>
      </c>
      <c r="Z16" s="47">
        <v>1</v>
      </c>
      <c r="AA16" s="47">
        <v>0</v>
      </c>
      <c r="AB16" s="47">
        <v>1</v>
      </c>
      <c r="AC16" s="47">
        <v>1</v>
      </c>
      <c r="AD16" s="47">
        <v>0</v>
      </c>
      <c r="AE16" s="47">
        <v>1</v>
      </c>
      <c r="AF16" s="47">
        <v>0</v>
      </c>
      <c r="AG16" s="47">
        <v>1</v>
      </c>
      <c r="AH16" s="47">
        <v>1</v>
      </c>
      <c r="AI16" s="47">
        <v>0</v>
      </c>
      <c r="AJ16" s="47">
        <v>1</v>
      </c>
      <c r="AK16" s="47">
        <v>1</v>
      </c>
      <c r="AL16" s="47">
        <v>1</v>
      </c>
      <c r="AM16" s="50">
        <v>1</v>
      </c>
      <c r="AN16" s="50">
        <v>1</v>
      </c>
      <c r="AO16" s="50">
        <v>1</v>
      </c>
      <c r="AP16" s="50">
        <v>1</v>
      </c>
      <c r="AQ16" s="50">
        <v>0</v>
      </c>
      <c r="AR16" s="50">
        <v>1</v>
      </c>
      <c r="AS16" s="50">
        <v>0</v>
      </c>
      <c r="AT16" s="50">
        <v>1</v>
      </c>
      <c r="AU16" s="50">
        <v>1</v>
      </c>
      <c r="AV16" s="50">
        <v>1</v>
      </c>
      <c r="AW16" s="50">
        <v>0</v>
      </c>
      <c r="AX16" s="50">
        <v>0</v>
      </c>
      <c r="AY16" s="50">
        <v>0</v>
      </c>
      <c r="AZ16" s="50">
        <v>0</v>
      </c>
      <c r="BA16" s="50">
        <v>0</v>
      </c>
      <c r="BB16" s="50">
        <v>0</v>
      </c>
      <c r="BC16" s="50">
        <v>0</v>
      </c>
      <c r="BD16" s="50">
        <v>1</v>
      </c>
      <c r="BE16" s="50">
        <v>0</v>
      </c>
      <c r="BF16" s="50">
        <v>0</v>
      </c>
      <c r="BG16" s="41">
        <f t="shared" si="1"/>
        <v>110.78311293300764</v>
      </c>
      <c r="BH16" s="41">
        <f t="shared" si="2"/>
        <v>104.50752426125904</v>
      </c>
      <c r="BI16" s="42">
        <f t="shared" si="3"/>
        <v>5.8315281032732348E-2</v>
      </c>
      <c r="BJ16" s="42">
        <f t="shared" si="4"/>
        <v>-0.72215595438284452</v>
      </c>
      <c r="BK16" s="42">
        <f t="shared" si="5"/>
        <v>0.74804000699260065</v>
      </c>
      <c r="BL16" s="42">
        <f t="shared" si="6"/>
        <v>1.0433549383987653</v>
      </c>
      <c r="BM16" s="42">
        <f t="shared" si="7"/>
        <v>60.433549383987653</v>
      </c>
      <c r="BN16" s="39" t="str">
        <f t="shared" si="8"/>
        <v>B+</v>
      </c>
    </row>
    <row r="17" spans="1:66" s="24" customFormat="1" ht="13.5" x14ac:dyDescent="0.35">
      <c r="A17" s="38">
        <v>16</v>
      </c>
      <c r="B17" s="28" t="s">
        <v>464</v>
      </c>
      <c r="C17" s="39">
        <f t="shared" si="0"/>
        <v>30</v>
      </c>
      <c r="D17" s="47">
        <v>1</v>
      </c>
      <c r="E17" s="47">
        <v>1</v>
      </c>
      <c r="F17" s="47">
        <v>1</v>
      </c>
      <c r="G17" s="47">
        <v>1</v>
      </c>
      <c r="H17" s="47">
        <v>1</v>
      </c>
      <c r="I17" s="47">
        <v>1</v>
      </c>
      <c r="J17" s="47">
        <v>1</v>
      </c>
      <c r="K17" s="47">
        <v>1</v>
      </c>
      <c r="L17" s="47">
        <v>1</v>
      </c>
      <c r="M17" s="47">
        <v>1</v>
      </c>
      <c r="N17" s="47">
        <v>0</v>
      </c>
      <c r="O17" s="47">
        <v>1</v>
      </c>
      <c r="P17" s="47">
        <v>1</v>
      </c>
      <c r="Q17" s="47">
        <v>0</v>
      </c>
      <c r="R17" s="54">
        <v>1</v>
      </c>
      <c r="S17" s="47">
        <v>1</v>
      </c>
      <c r="T17" s="47">
        <v>1</v>
      </c>
      <c r="U17" s="47">
        <v>0</v>
      </c>
      <c r="V17" s="47">
        <v>1</v>
      </c>
      <c r="W17" s="47">
        <v>1</v>
      </c>
      <c r="X17" s="47">
        <v>1</v>
      </c>
      <c r="Y17" s="47">
        <v>1</v>
      </c>
      <c r="Z17" s="47">
        <v>0</v>
      </c>
      <c r="AA17" s="47">
        <v>1</v>
      </c>
      <c r="AB17" s="47">
        <v>0</v>
      </c>
      <c r="AC17" s="47">
        <v>0</v>
      </c>
      <c r="AD17" s="47">
        <v>1</v>
      </c>
      <c r="AE17" s="47">
        <v>1</v>
      </c>
      <c r="AF17" s="47">
        <v>0</v>
      </c>
      <c r="AG17" s="47">
        <v>0</v>
      </c>
      <c r="AH17" s="47">
        <v>0</v>
      </c>
      <c r="AI17" s="47">
        <v>1</v>
      </c>
      <c r="AJ17" s="47">
        <v>1</v>
      </c>
      <c r="AK17" s="47">
        <v>1</v>
      </c>
      <c r="AL17" s="47">
        <v>1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1</v>
      </c>
      <c r="AV17" s="50">
        <v>1</v>
      </c>
      <c r="AW17" s="50">
        <v>1</v>
      </c>
      <c r="AX17" s="50">
        <v>1</v>
      </c>
      <c r="AY17" s="50">
        <v>0</v>
      </c>
      <c r="AZ17" s="50">
        <v>0</v>
      </c>
      <c r="BA17" s="50">
        <v>0</v>
      </c>
      <c r="BB17" s="50">
        <v>0</v>
      </c>
      <c r="BC17" s="50">
        <v>0</v>
      </c>
      <c r="BD17" s="50">
        <v>0</v>
      </c>
      <c r="BE17" s="50">
        <v>0</v>
      </c>
      <c r="BF17" s="50">
        <v>0</v>
      </c>
      <c r="BG17" s="41">
        <f t="shared" si="1"/>
        <v>99.411116468145792</v>
      </c>
      <c r="BH17" s="41">
        <f t="shared" si="2"/>
        <v>115.87952072612089</v>
      </c>
      <c r="BI17" s="42">
        <f t="shared" si="3"/>
        <v>-0.15328709383764114</v>
      </c>
      <c r="BJ17" s="42">
        <f t="shared" si="4"/>
        <v>-0.72215595438284452</v>
      </c>
      <c r="BK17" s="42">
        <f t="shared" si="5"/>
        <v>0.74804000699260065</v>
      </c>
      <c r="BL17" s="42">
        <f t="shared" si="6"/>
        <v>0.76047919259327856</v>
      </c>
      <c r="BM17" s="42">
        <f t="shared" si="7"/>
        <v>57.604791925932787</v>
      </c>
      <c r="BN17" s="39" t="str">
        <f t="shared" si="8"/>
        <v>B</v>
      </c>
    </row>
    <row r="18" spans="1:66" s="24" customFormat="1" ht="13.5" x14ac:dyDescent="0.35">
      <c r="A18" s="38">
        <v>17</v>
      </c>
      <c r="B18" s="28" t="s">
        <v>463</v>
      </c>
      <c r="C18" s="39">
        <f t="shared" si="0"/>
        <v>9</v>
      </c>
      <c r="D18" s="47">
        <v>0</v>
      </c>
      <c r="E18" s="47">
        <v>1</v>
      </c>
      <c r="F18" s="47">
        <v>1</v>
      </c>
      <c r="G18" s="47">
        <v>0</v>
      </c>
      <c r="H18" s="47">
        <v>0</v>
      </c>
      <c r="I18" s="47">
        <v>1</v>
      </c>
      <c r="J18" s="47">
        <v>1</v>
      </c>
      <c r="K18" s="47">
        <v>0</v>
      </c>
      <c r="L18" s="47">
        <v>0</v>
      </c>
      <c r="M18" s="47">
        <v>1</v>
      </c>
      <c r="N18" s="47">
        <v>0</v>
      </c>
      <c r="O18" s="47">
        <v>0</v>
      </c>
      <c r="P18" s="47">
        <v>0</v>
      </c>
      <c r="Q18" s="47">
        <v>1</v>
      </c>
      <c r="R18" s="54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1</v>
      </c>
      <c r="AD18" s="47">
        <v>0</v>
      </c>
      <c r="AE18" s="47">
        <v>0</v>
      </c>
      <c r="AF18" s="47">
        <v>1</v>
      </c>
      <c r="AG18" s="47">
        <v>1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  <c r="AV18" s="50">
        <v>0</v>
      </c>
      <c r="AW18" s="50">
        <v>0</v>
      </c>
      <c r="AX18" s="50">
        <v>0</v>
      </c>
      <c r="AY18" s="50">
        <v>0</v>
      </c>
      <c r="AZ18" s="50">
        <v>0</v>
      </c>
      <c r="BA18" s="50">
        <v>0</v>
      </c>
      <c r="BB18" s="50">
        <v>0</v>
      </c>
      <c r="BC18" s="50">
        <v>0</v>
      </c>
      <c r="BD18" s="50">
        <v>0</v>
      </c>
      <c r="BE18" s="50">
        <v>0</v>
      </c>
      <c r="BF18" s="50">
        <v>0</v>
      </c>
      <c r="BG18" s="41">
        <f t="shared" si="1"/>
        <v>24.975063369223452</v>
      </c>
      <c r="BH18" s="41">
        <f t="shared" si="2"/>
        <v>190.31557382504323</v>
      </c>
      <c r="BI18" s="42">
        <f t="shared" si="3"/>
        <v>-2.0308057473977796</v>
      </c>
      <c r="BJ18" s="42">
        <f t="shared" si="4"/>
        <v>-0.72215595438284452</v>
      </c>
      <c r="BK18" s="42">
        <f t="shared" si="5"/>
        <v>0.74804000699260065</v>
      </c>
      <c r="BL18" s="42">
        <f t="shared" si="6"/>
        <v>-1.7494382396420138</v>
      </c>
      <c r="BM18" s="42">
        <f t="shared" si="7"/>
        <v>32.505617603579864</v>
      </c>
      <c r="BN18" s="39" t="str">
        <f t="shared" si="8"/>
        <v>NC</v>
      </c>
    </row>
    <row r="19" spans="1:66" s="24" customFormat="1" ht="13.5" x14ac:dyDescent="0.35">
      <c r="A19" s="38">
        <v>18</v>
      </c>
      <c r="B19" s="28" t="s">
        <v>487</v>
      </c>
      <c r="C19" s="39">
        <f t="shared" si="0"/>
        <v>11</v>
      </c>
      <c r="D19" s="47">
        <v>1</v>
      </c>
      <c r="E19" s="47">
        <v>0</v>
      </c>
      <c r="F19" s="47">
        <v>1</v>
      </c>
      <c r="G19" s="47">
        <v>0</v>
      </c>
      <c r="H19" s="47">
        <v>1</v>
      </c>
      <c r="I19" s="47">
        <v>0</v>
      </c>
      <c r="J19" s="47">
        <v>0</v>
      </c>
      <c r="K19" s="47">
        <v>1</v>
      </c>
      <c r="L19" s="47">
        <v>0</v>
      </c>
      <c r="M19" s="47">
        <v>1</v>
      </c>
      <c r="N19" s="47">
        <v>0</v>
      </c>
      <c r="O19" s="47">
        <v>0</v>
      </c>
      <c r="P19" s="47">
        <v>0</v>
      </c>
      <c r="Q19" s="47">
        <v>0</v>
      </c>
      <c r="R19" s="54">
        <v>0</v>
      </c>
      <c r="S19" s="47">
        <v>0</v>
      </c>
      <c r="T19" s="47">
        <v>0</v>
      </c>
      <c r="U19" s="47">
        <v>1</v>
      </c>
      <c r="V19" s="47">
        <v>0</v>
      </c>
      <c r="W19" s="47">
        <v>0</v>
      </c>
      <c r="X19" s="47">
        <v>1</v>
      </c>
      <c r="Y19" s="47">
        <v>0</v>
      </c>
      <c r="Z19" s="47">
        <v>0</v>
      </c>
      <c r="AA19" s="47">
        <v>0</v>
      </c>
      <c r="AB19" s="47">
        <v>0</v>
      </c>
      <c r="AC19" s="47">
        <v>1</v>
      </c>
      <c r="AD19" s="47">
        <v>0</v>
      </c>
      <c r="AE19" s="47">
        <v>0</v>
      </c>
      <c r="AF19" s="47">
        <v>1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50">
        <v>1</v>
      </c>
      <c r="AN19" s="50">
        <v>0</v>
      </c>
      <c r="AO19" s="50">
        <v>0</v>
      </c>
      <c r="AP19" s="50">
        <v>1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41">
        <f t="shared" si="1"/>
        <v>34.482149452080378</v>
      </c>
      <c r="BH19" s="41">
        <f t="shared" si="2"/>
        <v>180.80848774218629</v>
      </c>
      <c r="BI19" s="42">
        <f t="shared" si="3"/>
        <v>-1.6569966093829156</v>
      </c>
      <c r="BJ19" s="42">
        <f t="shared" si="4"/>
        <v>-0.72215595438284452</v>
      </c>
      <c r="BK19" s="42">
        <f t="shared" si="5"/>
        <v>0.74804000699260065</v>
      </c>
      <c r="BL19" s="42">
        <f t="shared" si="6"/>
        <v>-1.2497201302888579</v>
      </c>
      <c r="BM19" s="42">
        <f t="shared" si="7"/>
        <v>37.502798697111423</v>
      </c>
      <c r="BN19" s="39" t="str">
        <f t="shared" si="8"/>
        <v>NC</v>
      </c>
    </row>
    <row r="20" spans="1:66" s="25" customFormat="1" ht="13.5" x14ac:dyDescent="0.35">
      <c r="A20" s="38">
        <v>19</v>
      </c>
      <c r="B20" s="28" t="s">
        <v>42</v>
      </c>
      <c r="C20" s="39">
        <f t="shared" si="0"/>
        <v>23</v>
      </c>
      <c r="D20" s="47">
        <v>1</v>
      </c>
      <c r="E20" s="47">
        <v>1</v>
      </c>
      <c r="F20" s="47">
        <v>0</v>
      </c>
      <c r="G20" s="47">
        <v>0</v>
      </c>
      <c r="H20" s="47">
        <v>1</v>
      </c>
      <c r="I20" s="47">
        <v>1</v>
      </c>
      <c r="J20" s="47">
        <v>0</v>
      </c>
      <c r="K20" s="47">
        <v>1</v>
      </c>
      <c r="L20" s="47">
        <v>0</v>
      </c>
      <c r="M20" s="47">
        <v>1</v>
      </c>
      <c r="N20" s="47">
        <v>0</v>
      </c>
      <c r="O20" s="47">
        <v>0</v>
      </c>
      <c r="P20" s="47">
        <v>1</v>
      </c>
      <c r="Q20" s="47">
        <v>0</v>
      </c>
      <c r="R20" s="54">
        <v>0</v>
      </c>
      <c r="S20" s="47">
        <v>0</v>
      </c>
      <c r="T20" s="47">
        <v>1</v>
      </c>
      <c r="U20" s="47">
        <v>1</v>
      </c>
      <c r="V20" s="47">
        <v>0</v>
      </c>
      <c r="W20" s="47">
        <v>1</v>
      </c>
      <c r="X20" s="47">
        <v>0</v>
      </c>
      <c r="Y20" s="47">
        <v>0</v>
      </c>
      <c r="Z20" s="47">
        <v>1</v>
      </c>
      <c r="AA20" s="47">
        <v>0</v>
      </c>
      <c r="AB20" s="47">
        <v>0</v>
      </c>
      <c r="AC20" s="47">
        <v>1</v>
      </c>
      <c r="AD20" s="47">
        <v>1</v>
      </c>
      <c r="AE20" s="47">
        <v>1</v>
      </c>
      <c r="AF20" s="47">
        <v>1</v>
      </c>
      <c r="AG20" s="47">
        <v>1</v>
      </c>
      <c r="AH20" s="47">
        <v>1</v>
      </c>
      <c r="AI20" s="47">
        <v>1</v>
      </c>
      <c r="AJ20" s="47">
        <v>1</v>
      </c>
      <c r="AK20" s="47">
        <v>1</v>
      </c>
      <c r="AL20" s="47">
        <v>1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1</v>
      </c>
      <c r="AS20" s="50">
        <v>0</v>
      </c>
      <c r="AT20" s="50">
        <v>0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0</v>
      </c>
      <c r="BA20" s="50">
        <v>0</v>
      </c>
      <c r="BB20" s="50">
        <v>1</v>
      </c>
      <c r="BC20" s="50">
        <v>0</v>
      </c>
      <c r="BD20" s="50">
        <v>0</v>
      </c>
      <c r="BE20" s="50">
        <v>0</v>
      </c>
      <c r="BF20" s="50">
        <v>0</v>
      </c>
      <c r="BG20" s="41">
        <f t="shared" si="1"/>
        <v>71.956921400244269</v>
      </c>
      <c r="BH20" s="41">
        <f t="shared" si="2"/>
        <v>143.3337157940224</v>
      </c>
      <c r="BI20" s="42">
        <f t="shared" si="3"/>
        <v>-0.68910796227694771</v>
      </c>
      <c r="BJ20" s="42">
        <f t="shared" si="4"/>
        <v>-0.72215595438284452</v>
      </c>
      <c r="BK20" s="42">
        <f t="shared" si="5"/>
        <v>0.74804000699260065</v>
      </c>
      <c r="BL20" s="42">
        <f t="shared" si="6"/>
        <v>4.4179444678048775E-2</v>
      </c>
      <c r="BM20" s="42">
        <f t="shared" si="7"/>
        <v>50.441794446780484</v>
      </c>
      <c r="BN20" s="39" t="str">
        <f t="shared" si="8"/>
        <v>C+</v>
      </c>
    </row>
    <row r="21" spans="1:66" s="24" customFormat="1" ht="13.5" x14ac:dyDescent="0.35">
      <c r="A21" s="38">
        <v>20</v>
      </c>
      <c r="B21" s="28" t="s">
        <v>488</v>
      </c>
      <c r="C21" s="39">
        <f t="shared" si="0"/>
        <v>10</v>
      </c>
      <c r="D21" s="47">
        <v>0</v>
      </c>
      <c r="E21" s="47">
        <v>0</v>
      </c>
      <c r="F21" s="47">
        <v>1</v>
      </c>
      <c r="G21" s="47">
        <v>0</v>
      </c>
      <c r="H21" s="47">
        <v>0</v>
      </c>
      <c r="I21" s="47">
        <v>1</v>
      </c>
      <c r="J21" s="47">
        <v>0</v>
      </c>
      <c r="K21" s="47">
        <v>1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1</v>
      </c>
      <c r="R21" s="54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1</v>
      </c>
      <c r="AA21" s="47">
        <v>0</v>
      </c>
      <c r="AB21" s="47">
        <v>0</v>
      </c>
      <c r="AC21" s="47">
        <v>1</v>
      </c>
      <c r="AD21" s="47">
        <v>0</v>
      </c>
      <c r="AE21" s="47">
        <v>1</v>
      </c>
      <c r="AF21" s="47">
        <v>0</v>
      </c>
      <c r="AG21" s="47">
        <v>0</v>
      </c>
      <c r="AH21" s="47">
        <v>1</v>
      </c>
      <c r="AI21" s="47">
        <v>0</v>
      </c>
      <c r="AJ21" s="47">
        <v>0</v>
      </c>
      <c r="AK21" s="47">
        <v>0</v>
      </c>
      <c r="AL21" s="47">
        <v>0</v>
      </c>
      <c r="AM21" s="50">
        <v>1</v>
      </c>
      <c r="AN21" s="50">
        <v>0</v>
      </c>
      <c r="AO21" s="50">
        <v>0</v>
      </c>
      <c r="AP21" s="50">
        <v>1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0</v>
      </c>
      <c r="BB21" s="50">
        <v>0</v>
      </c>
      <c r="BC21" s="50">
        <v>0</v>
      </c>
      <c r="BD21" s="50">
        <v>0</v>
      </c>
      <c r="BE21" s="50">
        <v>0</v>
      </c>
      <c r="BF21" s="50">
        <v>0</v>
      </c>
      <c r="BG21" s="41">
        <f t="shared" si="1"/>
        <v>32.069969117793789</v>
      </c>
      <c r="BH21" s="41">
        <f t="shared" si="2"/>
        <v>183.22066807647289</v>
      </c>
      <c r="BI21" s="42">
        <f t="shared" si="3"/>
        <v>-1.7427712121458481</v>
      </c>
      <c r="BJ21" s="42">
        <f t="shared" si="4"/>
        <v>-0.72215595438284452</v>
      </c>
      <c r="BK21" s="42">
        <f t="shared" si="5"/>
        <v>0.74804000699260065</v>
      </c>
      <c r="BL21" s="42">
        <f t="shared" si="6"/>
        <v>-1.3643859261836235</v>
      </c>
      <c r="BM21" s="42">
        <f t="shared" si="7"/>
        <v>36.356140738163766</v>
      </c>
      <c r="BN21" s="39" t="str">
        <f t="shared" si="8"/>
        <v>NC</v>
      </c>
    </row>
    <row r="22" spans="1:66" s="25" customFormat="1" ht="13.5" x14ac:dyDescent="0.35">
      <c r="A22" s="38">
        <v>21</v>
      </c>
      <c r="B22" s="33" t="s">
        <v>32</v>
      </c>
      <c r="C22" s="39">
        <f t="shared" si="0"/>
        <v>31</v>
      </c>
      <c r="D22" s="47">
        <v>1</v>
      </c>
      <c r="E22" s="47">
        <v>1</v>
      </c>
      <c r="F22" s="47">
        <v>1</v>
      </c>
      <c r="G22" s="47">
        <v>1</v>
      </c>
      <c r="H22" s="47">
        <v>1</v>
      </c>
      <c r="I22" s="47">
        <v>1</v>
      </c>
      <c r="J22" s="47">
        <v>1</v>
      </c>
      <c r="K22" s="47">
        <v>1</v>
      </c>
      <c r="L22" s="47">
        <v>1</v>
      </c>
      <c r="M22" s="47">
        <v>1</v>
      </c>
      <c r="N22" s="47">
        <v>1</v>
      </c>
      <c r="O22" s="47">
        <v>1</v>
      </c>
      <c r="P22" s="47">
        <v>1</v>
      </c>
      <c r="Q22" s="47">
        <v>0</v>
      </c>
      <c r="R22" s="54">
        <v>0</v>
      </c>
      <c r="S22" s="47">
        <v>0</v>
      </c>
      <c r="T22" s="47">
        <v>1</v>
      </c>
      <c r="U22" s="47">
        <v>1</v>
      </c>
      <c r="V22" s="47">
        <v>1</v>
      </c>
      <c r="W22" s="47">
        <v>1</v>
      </c>
      <c r="X22" s="47">
        <v>1</v>
      </c>
      <c r="Y22" s="47">
        <v>1</v>
      </c>
      <c r="Z22" s="47">
        <v>1</v>
      </c>
      <c r="AA22" s="47">
        <v>1</v>
      </c>
      <c r="AB22" s="47">
        <v>1</v>
      </c>
      <c r="AC22" s="47">
        <v>1</v>
      </c>
      <c r="AD22" s="47">
        <v>0</v>
      </c>
      <c r="AE22" s="47">
        <v>0</v>
      </c>
      <c r="AF22" s="47">
        <v>1</v>
      </c>
      <c r="AG22" s="47">
        <v>1</v>
      </c>
      <c r="AH22" s="47">
        <v>0</v>
      </c>
      <c r="AI22" s="47">
        <v>0</v>
      </c>
      <c r="AJ22" s="47">
        <v>1</v>
      </c>
      <c r="AK22" s="47">
        <v>0</v>
      </c>
      <c r="AL22" s="47">
        <v>0</v>
      </c>
      <c r="AM22" s="50">
        <v>1</v>
      </c>
      <c r="AN22" s="50">
        <v>0</v>
      </c>
      <c r="AO22" s="50">
        <v>0</v>
      </c>
      <c r="AP22" s="50">
        <v>1</v>
      </c>
      <c r="AQ22" s="50">
        <v>1</v>
      </c>
      <c r="AR22" s="50">
        <v>0</v>
      </c>
      <c r="AS22" s="50">
        <v>0</v>
      </c>
      <c r="AT22" s="50">
        <v>1</v>
      </c>
      <c r="AU22" s="50">
        <v>1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41">
        <f t="shared" si="1"/>
        <v>97.35172835741659</v>
      </c>
      <c r="BH22" s="41">
        <f t="shared" si="2"/>
        <v>117.93890883685009</v>
      </c>
      <c r="BI22" s="42">
        <f t="shared" si="3"/>
        <v>-0.19183628296261604</v>
      </c>
      <c r="BJ22" s="42">
        <f t="shared" si="4"/>
        <v>-0.72215595438284452</v>
      </c>
      <c r="BK22" s="42">
        <f t="shared" si="5"/>
        <v>0.74804000699260065</v>
      </c>
      <c r="BL22" s="42">
        <f t="shared" si="6"/>
        <v>0.70894559978457705</v>
      </c>
      <c r="BM22" s="42">
        <f t="shared" si="7"/>
        <v>57.089455997845768</v>
      </c>
      <c r="BN22" s="39" t="str">
        <f t="shared" si="8"/>
        <v>B</v>
      </c>
    </row>
    <row r="23" spans="1:66" s="25" customFormat="1" ht="13.5" x14ac:dyDescent="0.35">
      <c r="A23" s="38">
        <v>22</v>
      </c>
      <c r="B23" s="28" t="s">
        <v>494</v>
      </c>
      <c r="C23" s="39">
        <f t="shared" si="0"/>
        <v>21</v>
      </c>
      <c r="D23" s="47">
        <v>1</v>
      </c>
      <c r="E23" s="47">
        <v>1</v>
      </c>
      <c r="F23" s="47">
        <v>1</v>
      </c>
      <c r="G23" s="47">
        <v>0</v>
      </c>
      <c r="H23" s="47">
        <v>0</v>
      </c>
      <c r="I23" s="47">
        <v>1</v>
      </c>
      <c r="J23" s="47">
        <v>0</v>
      </c>
      <c r="K23" s="47">
        <v>1</v>
      </c>
      <c r="L23" s="47">
        <v>1</v>
      </c>
      <c r="M23" s="47">
        <v>1</v>
      </c>
      <c r="N23" s="47">
        <v>0</v>
      </c>
      <c r="O23" s="47">
        <v>1</v>
      </c>
      <c r="P23" s="47">
        <v>1</v>
      </c>
      <c r="Q23" s="47">
        <v>1</v>
      </c>
      <c r="R23" s="54">
        <v>0</v>
      </c>
      <c r="S23" s="47">
        <v>0</v>
      </c>
      <c r="T23" s="47">
        <v>1</v>
      </c>
      <c r="U23" s="47">
        <v>1</v>
      </c>
      <c r="V23" s="47">
        <v>0</v>
      </c>
      <c r="W23" s="47">
        <v>1</v>
      </c>
      <c r="X23" s="47">
        <v>0</v>
      </c>
      <c r="Y23" s="47">
        <v>1</v>
      </c>
      <c r="Z23" s="47">
        <v>0</v>
      </c>
      <c r="AA23" s="47">
        <v>0</v>
      </c>
      <c r="AB23" s="47">
        <v>0</v>
      </c>
      <c r="AC23" s="47">
        <v>1</v>
      </c>
      <c r="AD23" s="47">
        <v>0</v>
      </c>
      <c r="AE23" s="47">
        <v>1</v>
      </c>
      <c r="AF23" s="47">
        <v>0</v>
      </c>
      <c r="AG23" s="47">
        <v>0</v>
      </c>
      <c r="AH23" s="47">
        <v>0</v>
      </c>
      <c r="AI23" s="47">
        <v>0</v>
      </c>
      <c r="AJ23" s="47">
        <v>1</v>
      </c>
      <c r="AK23" s="47">
        <v>0</v>
      </c>
      <c r="AL23" s="47">
        <v>0</v>
      </c>
      <c r="AM23" s="50">
        <v>0</v>
      </c>
      <c r="AN23" s="50">
        <v>1</v>
      </c>
      <c r="AO23" s="50">
        <v>0</v>
      </c>
      <c r="AP23" s="50">
        <v>0</v>
      </c>
      <c r="AQ23" s="50">
        <v>0</v>
      </c>
      <c r="AR23" s="50">
        <v>0</v>
      </c>
      <c r="AS23" s="50">
        <v>1</v>
      </c>
      <c r="AT23" s="50">
        <v>0</v>
      </c>
      <c r="AU23" s="50">
        <v>1</v>
      </c>
      <c r="AV23" s="50">
        <v>1</v>
      </c>
      <c r="AW23" s="50">
        <v>0</v>
      </c>
      <c r="AX23" s="50">
        <v>0</v>
      </c>
      <c r="AY23" s="50">
        <v>0</v>
      </c>
      <c r="AZ23" s="50">
        <v>0</v>
      </c>
      <c r="BA23" s="50">
        <v>0</v>
      </c>
      <c r="BB23" s="50">
        <v>0</v>
      </c>
      <c r="BC23" s="50">
        <v>0</v>
      </c>
      <c r="BD23" s="50">
        <v>0</v>
      </c>
      <c r="BE23" s="50">
        <v>0</v>
      </c>
      <c r="BF23" s="50">
        <v>0</v>
      </c>
      <c r="BG23" s="41">
        <f t="shared" si="1"/>
        <v>65.540107357779263</v>
      </c>
      <c r="BH23" s="41">
        <f t="shared" si="2"/>
        <v>149.75052983648743</v>
      </c>
      <c r="BI23" s="42">
        <f t="shared" si="3"/>
        <v>-0.82630849381039295</v>
      </c>
      <c r="BJ23" s="42">
        <f t="shared" si="4"/>
        <v>-0.72215595438284452</v>
      </c>
      <c r="BK23" s="42">
        <f t="shared" si="5"/>
        <v>0.74804000699260065</v>
      </c>
      <c r="BL23" s="42">
        <f t="shared" si="6"/>
        <v>-0.13923391590548803</v>
      </c>
      <c r="BM23" s="42">
        <f t="shared" si="7"/>
        <v>48.607660840945123</v>
      </c>
      <c r="BN23" s="39" t="str">
        <f t="shared" si="8"/>
        <v>C</v>
      </c>
    </row>
    <row r="24" spans="1:66" s="24" customFormat="1" ht="13.5" x14ac:dyDescent="0.35">
      <c r="A24" s="38">
        <v>23</v>
      </c>
      <c r="B24" s="33" t="s">
        <v>514</v>
      </c>
      <c r="C24" s="39">
        <f t="shared" si="0"/>
        <v>18</v>
      </c>
      <c r="D24" s="47">
        <v>1</v>
      </c>
      <c r="E24" s="47">
        <v>1</v>
      </c>
      <c r="F24" s="47">
        <v>1</v>
      </c>
      <c r="G24" s="47">
        <v>0</v>
      </c>
      <c r="H24" s="47">
        <v>0</v>
      </c>
      <c r="I24" s="47">
        <v>1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1</v>
      </c>
      <c r="Q24" s="47">
        <v>0</v>
      </c>
      <c r="R24" s="54">
        <v>0</v>
      </c>
      <c r="S24" s="47">
        <v>1</v>
      </c>
      <c r="T24" s="47">
        <v>1</v>
      </c>
      <c r="U24" s="47">
        <v>1</v>
      </c>
      <c r="V24" s="47">
        <v>1</v>
      </c>
      <c r="W24" s="47">
        <v>1</v>
      </c>
      <c r="X24" s="47">
        <v>0</v>
      </c>
      <c r="Y24" s="47">
        <v>0</v>
      </c>
      <c r="Z24" s="47">
        <v>0</v>
      </c>
      <c r="AA24" s="47">
        <v>1</v>
      </c>
      <c r="AB24" s="47">
        <v>0</v>
      </c>
      <c r="AC24" s="47">
        <v>1</v>
      </c>
      <c r="AD24" s="47">
        <v>0</v>
      </c>
      <c r="AE24" s="47">
        <v>1</v>
      </c>
      <c r="AF24" s="47">
        <v>0</v>
      </c>
      <c r="AG24" s="47">
        <v>0</v>
      </c>
      <c r="AH24" s="47">
        <v>0</v>
      </c>
      <c r="AI24" s="47">
        <v>0</v>
      </c>
      <c r="AJ24" s="47">
        <v>1</v>
      </c>
      <c r="AK24" s="47">
        <v>1</v>
      </c>
      <c r="AL24" s="47">
        <v>0</v>
      </c>
      <c r="AM24" s="47">
        <v>1</v>
      </c>
      <c r="AN24" s="47">
        <v>0</v>
      </c>
      <c r="AO24" s="47">
        <v>0</v>
      </c>
      <c r="AP24" s="47">
        <v>0</v>
      </c>
      <c r="AQ24" s="47">
        <v>1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1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1">
        <f t="shared" si="1"/>
        <v>51.634452035046408</v>
      </c>
      <c r="BH24" s="41">
        <f t="shared" si="2"/>
        <v>163.65618515922029</v>
      </c>
      <c r="BI24" s="42">
        <f t="shared" si="3"/>
        <v>-1.1535786704891606</v>
      </c>
      <c r="BJ24" s="42">
        <f t="shared" si="4"/>
        <v>-0.72215595438284452</v>
      </c>
      <c r="BK24" s="42">
        <f t="shared" si="5"/>
        <v>0.74804000699260065</v>
      </c>
      <c r="BL24" s="42">
        <f t="shared" si="6"/>
        <v>-0.57673749007194952</v>
      </c>
      <c r="BM24" s="42">
        <f t="shared" si="7"/>
        <v>44.232625099280504</v>
      </c>
      <c r="BN24" s="39" t="str">
        <f t="shared" si="8"/>
        <v>NC</v>
      </c>
    </row>
    <row r="25" spans="1:66" s="24" customFormat="1" ht="13.5" x14ac:dyDescent="0.35">
      <c r="A25" s="38">
        <v>24</v>
      </c>
      <c r="B25" s="28" t="s">
        <v>33</v>
      </c>
      <c r="C25" s="39">
        <f t="shared" si="0"/>
        <v>18</v>
      </c>
      <c r="D25" s="47">
        <v>1</v>
      </c>
      <c r="E25" s="47">
        <v>1</v>
      </c>
      <c r="F25" s="47">
        <v>0</v>
      </c>
      <c r="G25" s="47">
        <v>1</v>
      </c>
      <c r="H25" s="47">
        <v>1</v>
      </c>
      <c r="I25" s="47">
        <v>0</v>
      </c>
      <c r="J25" s="47">
        <v>1</v>
      </c>
      <c r="K25" s="47">
        <v>0</v>
      </c>
      <c r="L25" s="47">
        <v>0</v>
      </c>
      <c r="M25" s="47">
        <v>1</v>
      </c>
      <c r="N25" s="47">
        <v>1</v>
      </c>
      <c r="O25" s="47">
        <v>0</v>
      </c>
      <c r="P25" s="47">
        <v>0</v>
      </c>
      <c r="Q25" s="47">
        <v>0</v>
      </c>
      <c r="R25" s="54">
        <v>1</v>
      </c>
      <c r="S25" s="47">
        <v>1</v>
      </c>
      <c r="T25" s="47">
        <v>1</v>
      </c>
      <c r="U25" s="47">
        <v>0</v>
      </c>
      <c r="V25" s="47">
        <v>0</v>
      </c>
      <c r="W25" s="47">
        <v>0</v>
      </c>
      <c r="X25" s="47">
        <v>0</v>
      </c>
      <c r="Y25" s="47">
        <v>1</v>
      </c>
      <c r="Z25" s="47">
        <v>1</v>
      </c>
      <c r="AA25" s="47">
        <v>1</v>
      </c>
      <c r="AB25" s="47">
        <v>1</v>
      </c>
      <c r="AC25" s="47">
        <v>0</v>
      </c>
      <c r="AD25" s="47">
        <v>1</v>
      </c>
      <c r="AE25" s="47">
        <v>1</v>
      </c>
      <c r="AF25" s="47">
        <v>0</v>
      </c>
      <c r="AG25" s="47">
        <v>0</v>
      </c>
      <c r="AH25" s="47">
        <v>0</v>
      </c>
      <c r="AI25" s="47">
        <v>0</v>
      </c>
      <c r="AJ25" s="47">
        <v>1</v>
      </c>
      <c r="AK25" s="47">
        <v>0</v>
      </c>
      <c r="AL25" s="47">
        <v>0</v>
      </c>
      <c r="AM25" s="47">
        <v>1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1">
        <f t="shared" si="1"/>
        <v>55.374515433813663</v>
      </c>
      <c r="BH25" s="41">
        <f t="shared" si="2"/>
        <v>159.91612176045302</v>
      </c>
      <c r="BI25" s="42">
        <f t="shared" si="3"/>
        <v>-1.0605299610792431</v>
      </c>
      <c r="BJ25" s="42">
        <f t="shared" si="4"/>
        <v>-0.72215595438284452</v>
      </c>
      <c r="BK25" s="42">
        <f t="shared" si="5"/>
        <v>0.74804000699260065</v>
      </c>
      <c r="BL25" s="42">
        <f t="shared" si="6"/>
        <v>-0.45234747277326531</v>
      </c>
      <c r="BM25" s="42">
        <f t="shared" si="7"/>
        <v>45.476525272267345</v>
      </c>
      <c r="BN25" s="39" t="str">
        <f t="shared" si="8"/>
        <v>C</v>
      </c>
    </row>
    <row r="26" spans="1:66" s="24" customFormat="1" ht="13.5" x14ac:dyDescent="0.35">
      <c r="A26" s="38">
        <v>25</v>
      </c>
      <c r="B26" s="28" t="s">
        <v>466</v>
      </c>
      <c r="C26" s="39">
        <f t="shared" si="0"/>
        <v>25</v>
      </c>
      <c r="D26" s="47">
        <v>1</v>
      </c>
      <c r="E26" s="47">
        <v>1</v>
      </c>
      <c r="F26" s="47">
        <v>1</v>
      </c>
      <c r="G26" s="47">
        <v>0</v>
      </c>
      <c r="H26" s="47">
        <v>1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1</v>
      </c>
      <c r="P26" s="47">
        <v>1</v>
      </c>
      <c r="Q26" s="47">
        <v>1</v>
      </c>
      <c r="R26" s="54">
        <v>0</v>
      </c>
      <c r="S26" s="47">
        <v>1</v>
      </c>
      <c r="T26" s="47">
        <v>1</v>
      </c>
      <c r="U26" s="47">
        <v>0</v>
      </c>
      <c r="V26" s="47">
        <v>0</v>
      </c>
      <c r="W26" s="47">
        <v>1</v>
      </c>
      <c r="X26" s="47">
        <v>1</v>
      </c>
      <c r="Y26" s="47">
        <v>1</v>
      </c>
      <c r="Z26" s="47">
        <v>1</v>
      </c>
      <c r="AA26" s="47">
        <v>1</v>
      </c>
      <c r="AB26" s="47">
        <v>1</v>
      </c>
      <c r="AC26" s="47">
        <v>1</v>
      </c>
      <c r="AD26" s="47">
        <v>1</v>
      </c>
      <c r="AE26" s="47">
        <v>0</v>
      </c>
      <c r="AF26" s="47">
        <v>0</v>
      </c>
      <c r="AG26" s="47">
        <v>0</v>
      </c>
      <c r="AH26" s="47">
        <v>1</v>
      </c>
      <c r="AI26" s="47">
        <v>1</v>
      </c>
      <c r="AJ26" s="47">
        <v>0</v>
      </c>
      <c r="AK26" s="47">
        <v>1</v>
      </c>
      <c r="AL26" s="47">
        <v>1</v>
      </c>
      <c r="AM26" s="50">
        <v>1</v>
      </c>
      <c r="AN26" s="50">
        <v>0</v>
      </c>
      <c r="AO26" s="50">
        <v>1</v>
      </c>
      <c r="AP26" s="50">
        <v>0</v>
      </c>
      <c r="AQ26" s="50">
        <v>0</v>
      </c>
      <c r="AR26" s="50">
        <v>1</v>
      </c>
      <c r="AS26" s="50">
        <v>0</v>
      </c>
      <c r="AT26" s="50">
        <v>0</v>
      </c>
      <c r="AU26" s="50">
        <v>0</v>
      </c>
      <c r="AV26" s="50">
        <v>0</v>
      </c>
      <c r="AW26" s="50">
        <v>0</v>
      </c>
      <c r="AX26" s="50">
        <v>0</v>
      </c>
      <c r="AY26" s="50">
        <v>0</v>
      </c>
      <c r="AZ26" s="50">
        <v>0</v>
      </c>
      <c r="BA26" s="50">
        <v>0</v>
      </c>
      <c r="BB26" s="50">
        <v>0</v>
      </c>
      <c r="BC26" s="50">
        <v>0</v>
      </c>
      <c r="BD26" s="50">
        <v>1</v>
      </c>
      <c r="BE26" s="50">
        <v>0</v>
      </c>
      <c r="BF26" s="50">
        <v>0</v>
      </c>
      <c r="BG26" s="41">
        <f t="shared" si="1"/>
        <v>80.609609996598607</v>
      </c>
      <c r="BH26" s="41">
        <f t="shared" si="2"/>
        <v>134.68102719766807</v>
      </c>
      <c r="BI26" s="42">
        <f t="shared" si="3"/>
        <v>-0.5132913480819068</v>
      </c>
      <c r="BJ26" s="42">
        <f t="shared" si="4"/>
        <v>-0.72215595438284452</v>
      </c>
      <c r="BK26" s="42">
        <f t="shared" si="5"/>
        <v>0.74804000699260065</v>
      </c>
      <c r="BL26" s="42">
        <f t="shared" si="6"/>
        <v>0.27921582314915377</v>
      </c>
      <c r="BM26" s="42">
        <f t="shared" si="7"/>
        <v>52.792158231491541</v>
      </c>
      <c r="BN26" s="39" t="str">
        <f t="shared" si="8"/>
        <v>C+</v>
      </c>
    </row>
    <row r="27" spans="1:66" s="24" customFormat="1" ht="13.5" x14ac:dyDescent="0.35">
      <c r="A27" s="38">
        <v>26</v>
      </c>
      <c r="B27" s="28" t="s">
        <v>470</v>
      </c>
      <c r="C27" s="39">
        <f t="shared" si="0"/>
        <v>32</v>
      </c>
      <c r="D27" s="47">
        <v>1</v>
      </c>
      <c r="E27" s="47">
        <v>1</v>
      </c>
      <c r="F27" s="47">
        <v>1</v>
      </c>
      <c r="G27" s="47">
        <v>1</v>
      </c>
      <c r="H27" s="47">
        <v>1</v>
      </c>
      <c r="I27" s="47">
        <v>1</v>
      </c>
      <c r="J27" s="47">
        <v>1</v>
      </c>
      <c r="K27" s="47">
        <v>1</v>
      </c>
      <c r="L27" s="47">
        <v>1</v>
      </c>
      <c r="M27" s="47">
        <v>1</v>
      </c>
      <c r="N27" s="47">
        <v>0</v>
      </c>
      <c r="O27" s="47">
        <v>1</v>
      </c>
      <c r="P27" s="47">
        <v>1</v>
      </c>
      <c r="Q27" s="47">
        <v>0</v>
      </c>
      <c r="R27" s="54">
        <v>0</v>
      </c>
      <c r="S27" s="47">
        <v>0</v>
      </c>
      <c r="T27" s="47">
        <v>1</v>
      </c>
      <c r="U27" s="47">
        <v>1</v>
      </c>
      <c r="V27" s="47">
        <v>1</v>
      </c>
      <c r="W27" s="47">
        <v>1</v>
      </c>
      <c r="X27" s="47">
        <v>0</v>
      </c>
      <c r="Y27" s="47">
        <v>1</v>
      </c>
      <c r="Z27" s="47">
        <v>1</v>
      </c>
      <c r="AA27" s="47">
        <v>1</v>
      </c>
      <c r="AB27" s="47">
        <v>0</v>
      </c>
      <c r="AC27" s="47">
        <v>0</v>
      </c>
      <c r="AD27" s="47">
        <v>1</v>
      </c>
      <c r="AE27" s="47">
        <v>1</v>
      </c>
      <c r="AF27" s="47">
        <v>1</v>
      </c>
      <c r="AG27" s="47">
        <v>0</v>
      </c>
      <c r="AH27" s="47">
        <v>0</v>
      </c>
      <c r="AI27" s="47">
        <v>1</v>
      </c>
      <c r="AJ27" s="47">
        <v>0</v>
      </c>
      <c r="AK27" s="47">
        <v>1</v>
      </c>
      <c r="AL27" s="47">
        <v>1</v>
      </c>
      <c r="AM27" s="50">
        <v>1</v>
      </c>
      <c r="AN27" s="50">
        <v>1</v>
      </c>
      <c r="AO27" s="50">
        <v>1</v>
      </c>
      <c r="AP27" s="50">
        <v>1</v>
      </c>
      <c r="AQ27" s="50">
        <v>0</v>
      </c>
      <c r="AR27" s="50">
        <v>0</v>
      </c>
      <c r="AS27" s="50">
        <v>0</v>
      </c>
      <c r="AT27" s="50">
        <v>1</v>
      </c>
      <c r="AU27" s="50">
        <v>0</v>
      </c>
      <c r="AV27" s="50">
        <v>0</v>
      </c>
      <c r="AW27" s="50">
        <v>0</v>
      </c>
      <c r="AX27" s="50">
        <v>0</v>
      </c>
      <c r="AY27" s="50">
        <v>0</v>
      </c>
      <c r="AZ27" s="50">
        <v>0</v>
      </c>
      <c r="BA27" s="50">
        <v>1</v>
      </c>
      <c r="BB27" s="50">
        <v>0</v>
      </c>
      <c r="BC27" s="50">
        <v>0</v>
      </c>
      <c r="BD27" s="50">
        <v>1</v>
      </c>
      <c r="BE27" s="50">
        <v>0</v>
      </c>
      <c r="BF27" s="50">
        <v>0</v>
      </c>
      <c r="BG27" s="41">
        <f t="shared" si="1"/>
        <v>106.17169491300326</v>
      </c>
      <c r="BH27" s="41">
        <f t="shared" si="2"/>
        <v>109.11894228126341</v>
      </c>
      <c r="BI27" s="42">
        <f t="shared" si="3"/>
        <v>-2.7380953837432949E-2</v>
      </c>
      <c r="BJ27" s="42">
        <f t="shared" si="4"/>
        <v>-0.72215595438284452</v>
      </c>
      <c r="BK27" s="42">
        <f t="shared" si="5"/>
        <v>0.74804000699260065</v>
      </c>
      <c r="BL27" s="42">
        <f t="shared" si="6"/>
        <v>0.92879390681076768</v>
      </c>
      <c r="BM27" s="42">
        <f t="shared" si="7"/>
        <v>59.287939068107676</v>
      </c>
      <c r="BN27" s="39" t="str">
        <f t="shared" si="8"/>
        <v>B</v>
      </c>
    </row>
    <row r="28" spans="1:66" s="24" customFormat="1" ht="13.5" x14ac:dyDescent="0.35">
      <c r="A28" s="38">
        <v>27</v>
      </c>
      <c r="B28" s="31" t="s">
        <v>37</v>
      </c>
      <c r="C28" s="39">
        <f t="shared" si="0"/>
        <v>29</v>
      </c>
      <c r="D28" s="47">
        <v>1</v>
      </c>
      <c r="E28" s="47">
        <v>0</v>
      </c>
      <c r="F28" s="47">
        <v>0</v>
      </c>
      <c r="G28" s="47">
        <v>0</v>
      </c>
      <c r="H28" s="47">
        <v>1</v>
      </c>
      <c r="I28" s="47">
        <v>1</v>
      </c>
      <c r="J28" s="47">
        <v>1</v>
      </c>
      <c r="K28" s="47">
        <v>1</v>
      </c>
      <c r="L28" s="47">
        <v>1</v>
      </c>
      <c r="M28" s="47">
        <v>1</v>
      </c>
      <c r="N28" s="47">
        <v>0</v>
      </c>
      <c r="O28" s="47">
        <v>1</v>
      </c>
      <c r="P28" s="47">
        <v>1</v>
      </c>
      <c r="Q28" s="47">
        <v>1</v>
      </c>
      <c r="R28" s="54">
        <v>0</v>
      </c>
      <c r="S28" s="47">
        <v>0</v>
      </c>
      <c r="T28" s="47">
        <v>1</v>
      </c>
      <c r="U28" s="47">
        <v>1</v>
      </c>
      <c r="V28" s="47">
        <v>1</v>
      </c>
      <c r="W28" s="47">
        <v>1</v>
      </c>
      <c r="X28" s="47">
        <v>0</v>
      </c>
      <c r="Y28" s="47">
        <v>0</v>
      </c>
      <c r="Z28" s="47">
        <v>0</v>
      </c>
      <c r="AA28" s="47">
        <v>1</v>
      </c>
      <c r="AB28" s="47">
        <v>0</v>
      </c>
      <c r="AC28" s="47">
        <v>1</v>
      </c>
      <c r="AD28" s="47">
        <v>1</v>
      </c>
      <c r="AE28" s="47">
        <v>1</v>
      </c>
      <c r="AF28" s="47">
        <v>1</v>
      </c>
      <c r="AG28" s="47">
        <v>1</v>
      </c>
      <c r="AH28" s="47">
        <v>0</v>
      </c>
      <c r="AI28" s="47">
        <v>1</v>
      </c>
      <c r="AJ28" s="47">
        <v>1</v>
      </c>
      <c r="AK28" s="47">
        <v>1</v>
      </c>
      <c r="AL28" s="47">
        <v>0</v>
      </c>
      <c r="AM28" s="50">
        <v>1</v>
      </c>
      <c r="AN28" s="50">
        <v>0</v>
      </c>
      <c r="AO28" s="50">
        <v>0</v>
      </c>
      <c r="AP28" s="50">
        <v>0</v>
      </c>
      <c r="AQ28" s="50">
        <v>1</v>
      </c>
      <c r="AR28" s="50">
        <v>1</v>
      </c>
      <c r="AS28" s="50">
        <v>0</v>
      </c>
      <c r="AT28" s="50">
        <v>0</v>
      </c>
      <c r="AU28" s="50">
        <v>0</v>
      </c>
      <c r="AV28" s="50">
        <v>1</v>
      </c>
      <c r="AW28" s="50">
        <v>0</v>
      </c>
      <c r="AX28" s="50">
        <v>0</v>
      </c>
      <c r="AY28" s="50">
        <v>0</v>
      </c>
      <c r="AZ28" s="50">
        <v>0</v>
      </c>
      <c r="BA28" s="50">
        <v>1</v>
      </c>
      <c r="BB28" s="50">
        <v>1</v>
      </c>
      <c r="BC28" s="50">
        <v>0</v>
      </c>
      <c r="BD28" s="50">
        <v>0</v>
      </c>
      <c r="BE28" s="50">
        <v>0</v>
      </c>
      <c r="BF28" s="50">
        <v>0</v>
      </c>
      <c r="BG28" s="41">
        <f t="shared" si="1"/>
        <v>95.69372419487253</v>
      </c>
      <c r="BH28" s="41">
        <f t="shared" si="2"/>
        <v>119.59691299939415</v>
      </c>
      <c r="BI28" s="42">
        <f t="shared" si="3"/>
        <v>-0.22297431173400029</v>
      </c>
      <c r="BJ28" s="42">
        <f t="shared" si="4"/>
        <v>-0.72215595438284452</v>
      </c>
      <c r="BK28" s="42">
        <f t="shared" si="5"/>
        <v>0.74804000699260065</v>
      </c>
      <c r="BL28" s="42">
        <f t="shared" si="6"/>
        <v>0.66731944546086552</v>
      </c>
      <c r="BM28" s="42">
        <f t="shared" si="7"/>
        <v>56.673194454608655</v>
      </c>
      <c r="BN28" s="39" t="str">
        <f t="shared" si="8"/>
        <v>B</v>
      </c>
    </row>
    <row r="29" spans="1:66" s="24" customFormat="1" ht="13.5" x14ac:dyDescent="0.35">
      <c r="A29" s="38">
        <v>28</v>
      </c>
      <c r="B29" s="28" t="s">
        <v>449</v>
      </c>
      <c r="C29" s="39">
        <f t="shared" si="0"/>
        <v>21</v>
      </c>
      <c r="D29" s="47">
        <v>1</v>
      </c>
      <c r="E29" s="47">
        <v>1</v>
      </c>
      <c r="F29" s="47">
        <v>1</v>
      </c>
      <c r="G29" s="47">
        <v>0</v>
      </c>
      <c r="H29" s="47">
        <v>0</v>
      </c>
      <c r="I29" s="47">
        <v>1</v>
      </c>
      <c r="J29" s="47">
        <v>1</v>
      </c>
      <c r="K29" s="47">
        <v>0</v>
      </c>
      <c r="L29" s="47">
        <v>0</v>
      </c>
      <c r="M29" s="47">
        <v>1</v>
      </c>
      <c r="N29" s="47">
        <v>0</v>
      </c>
      <c r="O29" s="47">
        <v>0</v>
      </c>
      <c r="P29" s="47">
        <v>1</v>
      </c>
      <c r="Q29" s="47">
        <v>0</v>
      </c>
      <c r="R29" s="54">
        <v>1</v>
      </c>
      <c r="S29" s="47">
        <v>1</v>
      </c>
      <c r="T29" s="47">
        <v>1</v>
      </c>
      <c r="U29" s="47">
        <v>0</v>
      </c>
      <c r="V29" s="47">
        <v>1</v>
      </c>
      <c r="W29" s="47">
        <v>1</v>
      </c>
      <c r="X29" s="47">
        <v>1</v>
      </c>
      <c r="Y29" s="47">
        <v>1</v>
      </c>
      <c r="Z29" s="47">
        <v>0</v>
      </c>
      <c r="AA29" s="47">
        <v>1</v>
      </c>
      <c r="AB29" s="47">
        <v>0</v>
      </c>
      <c r="AC29" s="47">
        <v>1</v>
      </c>
      <c r="AD29" s="47">
        <v>0</v>
      </c>
      <c r="AE29" s="47">
        <v>0</v>
      </c>
      <c r="AF29" s="47">
        <v>0</v>
      </c>
      <c r="AG29" s="47">
        <v>0</v>
      </c>
      <c r="AH29" s="47">
        <v>1</v>
      </c>
      <c r="AI29" s="47">
        <v>0</v>
      </c>
      <c r="AJ29" s="47">
        <v>1</v>
      </c>
      <c r="AK29" s="47">
        <v>0</v>
      </c>
      <c r="AL29" s="47">
        <v>0</v>
      </c>
      <c r="AM29" s="50">
        <v>1</v>
      </c>
      <c r="AN29" s="50">
        <v>0</v>
      </c>
      <c r="AO29" s="50">
        <v>0</v>
      </c>
      <c r="AP29" s="50">
        <v>0</v>
      </c>
      <c r="AQ29" s="50">
        <v>0</v>
      </c>
      <c r="AR29" s="50">
        <v>1</v>
      </c>
      <c r="AS29" s="50">
        <v>1</v>
      </c>
      <c r="AT29" s="50">
        <v>0</v>
      </c>
      <c r="AU29" s="50">
        <v>0</v>
      </c>
      <c r="AV29" s="50">
        <v>0</v>
      </c>
      <c r="AW29" s="50">
        <v>0</v>
      </c>
      <c r="AX29" s="50">
        <v>0</v>
      </c>
      <c r="AY29" s="50">
        <v>0</v>
      </c>
      <c r="AZ29" s="50">
        <v>0</v>
      </c>
      <c r="BA29" s="50">
        <v>0</v>
      </c>
      <c r="BB29" s="50">
        <v>0</v>
      </c>
      <c r="BC29" s="50">
        <v>0</v>
      </c>
      <c r="BD29" s="50">
        <v>0</v>
      </c>
      <c r="BE29" s="50">
        <v>0</v>
      </c>
      <c r="BF29" s="50">
        <v>0</v>
      </c>
      <c r="BG29" s="41">
        <f t="shared" si="1"/>
        <v>63.14697183528969</v>
      </c>
      <c r="BH29" s="41">
        <f t="shared" si="2"/>
        <v>152.14366535897699</v>
      </c>
      <c r="BI29" s="42">
        <f t="shared" si="3"/>
        <v>-0.87936034558119958</v>
      </c>
      <c r="BJ29" s="42">
        <f t="shared" si="4"/>
        <v>-0.72215595438284452</v>
      </c>
      <c r="BK29" s="42">
        <f t="shared" si="5"/>
        <v>0.74804000699260065</v>
      </c>
      <c r="BL29" s="42">
        <f t="shared" si="6"/>
        <v>-0.21015505819050406</v>
      </c>
      <c r="BM29" s="42">
        <f t="shared" si="7"/>
        <v>47.898449418094962</v>
      </c>
      <c r="BN29" s="39" t="str">
        <f t="shared" si="8"/>
        <v>C</v>
      </c>
    </row>
    <row r="30" spans="1:66" s="24" customFormat="1" ht="13.5" x14ac:dyDescent="0.35">
      <c r="A30" s="38">
        <v>29</v>
      </c>
      <c r="B30" s="28" t="s">
        <v>513</v>
      </c>
      <c r="C30" s="39">
        <f t="shared" si="0"/>
        <v>19</v>
      </c>
      <c r="D30" s="47">
        <v>0</v>
      </c>
      <c r="E30" s="47">
        <v>1</v>
      </c>
      <c r="F30" s="47">
        <v>1</v>
      </c>
      <c r="G30" s="47">
        <v>0</v>
      </c>
      <c r="H30" s="47">
        <v>1</v>
      </c>
      <c r="I30" s="47">
        <v>1</v>
      </c>
      <c r="J30" s="47">
        <v>1</v>
      </c>
      <c r="K30" s="47">
        <v>1</v>
      </c>
      <c r="L30" s="47">
        <v>1</v>
      </c>
      <c r="M30" s="47">
        <v>0</v>
      </c>
      <c r="N30" s="47">
        <v>0</v>
      </c>
      <c r="O30" s="47">
        <v>1</v>
      </c>
      <c r="P30" s="47">
        <v>1</v>
      </c>
      <c r="Q30" s="47">
        <v>0</v>
      </c>
      <c r="R30" s="54">
        <v>0</v>
      </c>
      <c r="S30" s="47">
        <v>0</v>
      </c>
      <c r="T30" s="47">
        <v>1</v>
      </c>
      <c r="U30" s="47">
        <v>1</v>
      </c>
      <c r="V30" s="47">
        <v>1</v>
      </c>
      <c r="W30" s="47">
        <v>0</v>
      </c>
      <c r="X30" s="47">
        <v>0</v>
      </c>
      <c r="Y30" s="47">
        <v>1</v>
      </c>
      <c r="Z30" s="47">
        <v>1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1</v>
      </c>
      <c r="AI30" s="47">
        <v>0</v>
      </c>
      <c r="AJ30" s="47">
        <v>1</v>
      </c>
      <c r="AK30" s="47">
        <v>1</v>
      </c>
      <c r="AL30" s="47">
        <v>0</v>
      </c>
      <c r="AM30" s="47">
        <v>1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1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1">
        <f t="shared" si="1"/>
        <v>54.219974792783631</v>
      </c>
      <c r="BH30" s="41">
        <f t="shared" si="2"/>
        <v>161.07066240148305</v>
      </c>
      <c r="BI30" s="42">
        <f t="shared" si="3"/>
        <v>-1.0887937864368402</v>
      </c>
      <c r="BJ30" s="42">
        <f t="shared" si="4"/>
        <v>-0.72215595438284452</v>
      </c>
      <c r="BK30" s="42">
        <f t="shared" si="5"/>
        <v>0.74804000699260065</v>
      </c>
      <c r="BL30" s="42">
        <f t="shared" si="6"/>
        <v>-0.49013131467127846</v>
      </c>
      <c r="BM30" s="42">
        <f t="shared" si="7"/>
        <v>45.098686853287219</v>
      </c>
      <c r="BN30" s="39" t="str">
        <f t="shared" si="8"/>
        <v>C</v>
      </c>
    </row>
    <row r="31" spans="1:66" s="24" customFormat="1" ht="13.5" x14ac:dyDescent="0.35">
      <c r="A31" s="38">
        <v>30</v>
      </c>
      <c r="B31" s="33" t="s">
        <v>26</v>
      </c>
      <c r="C31" s="39">
        <f t="shared" si="0"/>
        <v>29</v>
      </c>
      <c r="D31" s="47">
        <v>1</v>
      </c>
      <c r="E31" s="47">
        <v>1</v>
      </c>
      <c r="F31" s="47">
        <v>1</v>
      </c>
      <c r="G31" s="47">
        <v>0</v>
      </c>
      <c r="H31" s="47">
        <v>1</v>
      </c>
      <c r="I31" s="47">
        <v>0</v>
      </c>
      <c r="J31" s="47">
        <v>1</v>
      </c>
      <c r="K31" s="47">
        <v>0</v>
      </c>
      <c r="L31" s="47">
        <v>1</v>
      </c>
      <c r="M31" s="47">
        <v>1</v>
      </c>
      <c r="N31" s="47">
        <v>0</v>
      </c>
      <c r="O31" s="47">
        <v>0</v>
      </c>
      <c r="P31" s="47">
        <v>1</v>
      </c>
      <c r="Q31" s="47">
        <v>0</v>
      </c>
      <c r="R31" s="54">
        <v>0</v>
      </c>
      <c r="S31" s="47">
        <v>1</v>
      </c>
      <c r="T31" s="47">
        <v>1</v>
      </c>
      <c r="U31" s="47">
        <v>0</v>
      </c>
      <c r="V31" s="47">
        <v>1</v>
      </c>
      <c r="W31" s="47">
        <v>1</v>
      </c>
      <c r="X31" s="47">
        <v>0</v>
      </c>
      <c r="Y31" s="47">
        <v>1</v>
      </c>
      <c r="Z31" s="47">
        <v>1</v>
      </c>
      <c r="AA31" s="47">
        <v>1</v>
      </c>
      <c r="AB31" s="47">
        <v>0</v>
      </c>
      <c r="AC31" s="47">
        <v>1</v>
      </c>
      <c r="AD31" s="47">
        <v>0</v>
      </c>
      <c r="AE31" s="47">
        <v>1</v>
      </c>
      <c r="AF31" s="47">
        <v>1</v>
      </c>
      <c r="AG31" s="47">
        <v>0</v>
      </c>
      <c r="AH31" s="47">
        <v>0</v>
      </c>
      <c r="AI31" s="47">
        <v>0</v>
      </c>
      <c r="AJ31" s="47">
        <v>1</v>
      </c>
      <c r="AK31" s="47">
        <v>0</v>
      </c>
      <c r="AL31" s="47">
        <v>1</v>
      </c>
      <c r="AM31" s="47">
        <v>1</v>
      </c>
      <c r="AN31" s="47">
        <v>1</v>
      </c>
      <c r="AO31" s="47">
        <v>0</v>
      </c>
      <c r="AP31" s="47">
        <v>0</v>
      </c>
      <c r="AQ31" s="47">
        <v>1</v>
      </c>
      <c r="AR31" s="47">
        <v>1</v>
      </c>
      <c r="AS31" s="47">
        <v>0</v>
      </c>
      <c r="AT31" s="47">
        <v>1</v>
      </c>
      <c r="AU31" s="47">
        <v>1</v>
      </c>
      <c r="AV31" s="47">
        <v>1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1</v>
      </c>
      <c r="BC31" s="47">
        <v>0</v>
      </c>
      <c r="BD31" s="47">
        <v>1</v>
      </c>
      <c r="BE31" s="47">
        <v>0</v>
      </c>
      <c r="BF31" s="47">
        <v>0</v>
      </c>
      <c r="BG31" s="41">
        <f t="shared" si="1"/>
        <v>94.961296891307114</v>
      </c>
      <c r="BH31" s="41">
        <f t="shared" si="2"/>
        <v>120.32934030295957</v>
      </c>
      <c r="BI31" s="42">
        <f t="shared" si="3"/>
        <v>-0.23676307859028967</v>
      </c>
      <c r="BJ31" s="42">
        <f t="shared" si="4"/>
        <v>-0.72215595438284452</v>
      </c>
      <c r="BK31" s="42">
        <f t="shared" si="5"/>
        <v>0.74804000699260065</v>
      </c>
      <c r="BL31" s="42">
        <f t="shared" si="6"/>
        <v>0.64888625107634945</v>
      </c>
      <c r="BM31" s="42">
        <f t="shared" si="7"/>
        <v>56.488862510763497</v>
      </c>
      <c r="BN31" s="39" t="str">
        <f t="shared" si="8"/>
        <v>B</v>
      </c>
    </row>
    <row r="32" spans="1:66" s="25" customFormat="1" ht="13.5" x14ac:dyDescent="0.35">
      <c r="A32" s="38">
        <v>31</v>
      </c>
      <c r="B32" s="28" t="s">
        <v>442</v>
      </c>
      <c r="C32" s="39">
        <f t="shared" si="0"/>
        <v>28</v>
      </c>
      <c r="D32" s="47">
        <v>1</v>
      </c>
      <c r="E32" s="47">
        <v>1</v>
      </c>
      <c r="F32" s="47">
        <v>1</v>
      </c>
      <c r="G32" s="47">
        <v>0</v>
      </c>
      <c r="H32" s="47">
        <v>1</v>
      </c>
      <c r="I32" s="47">
        <v>1</v>
      </c>
      <c r="J32" s="47">
        <v>0</v>
      </c>
      <c r="K32" s="47">
        <v>1</v>
      </c>
      <c r="L32" s="47">
        <v>1</v>
      </c>
      <c r="M32" s="47">
        <v>1</v>
      </c>
      <c r="N32" s="47">
        <v>1</v>
      </c>
      <c r="O32" s="47">
        <v>1</v>
      </c>
      <c r="P32" s="47">
        <v>1</v>
      </c>
      <c r="Q32" s="47">
        <v>0</v>
      </c>
      <c r="R32" s="54">
        <v>0</v>
      </c>
      <c r="S32" s="47">
        <v>1</v>
      </c>
      <c r="T32" s="47">
        <v>1</v>
      </c>
      <c r="U32" s="47">
        <v>1</v>
      </c>
      <c r="V32" s="47">
        <v>1</v>
      </c>
      <c r="W32" s="47">
        <v>1</v>
      </c>
      <c r="X32" s="47">
        <v>1</v>
      </c>
      <c r="Y32" s="47">
        <v>1</v>
      </c>
      <c r="Z32" s="47">
        <v>0</v>
      </c>
      <c r="AA32" s="47">
        <v>1</v>
      </c>
      <c r="AB32" s="47">
        <v>0</v>
      </c>
      <c r="AC32" s="47">
        <v>0</v>
      </c>
      <c r="AD32" s="47">
        <v>0</v>
      </c>
      <c r="AE32" s="47">
        <v>1</v>
      </c>
      <c r="AF32" s="47">
        <v>1</v>
      </c>
      <c r="AG32" s="47">
        <v>0</v>
      </c>
      <c r="AH32" s="47">
        <v>1</v>
      </c>
      <c r="AI32" s="47">
        <v>0</v>
      </c>
      <c r="AJ32" s="47">
        <v>1</v>
      </c>
      <c r="AK32" s="47">
        <v>1</v>
      </c>
      <c r="AL32" s="47">
        <v>0</v>
      </c>
      <c r="AM32" s="50">
        <v>1</v>
      </c>
      <c r="AN32" s="50">
        <v>0</v>
      </c>
      <c r="AO32" s="50">
        <v>1</v>
      </c>
      <c r="AP32" s="50">
        <v>0</v>
      </c>
      <c r="AQ32" s="50">
        <v>0</v>
      </c>
      <c r="AR32" s="50">
        <v>0</v>
      </c>
      <c r="AS32" s="50">
        <v>0</v>
      </c>
      <c r="AT32" s="50">
        <v>0</v>
      </c>
      <c r="AU32" s="50">
        <v>0</v>
      </c>
      <c r="AV32" s="50">
        <v>0</v>
      </c>
      <c r="AW32" s="50">
        <v>0</v>
      </c>
      <c r="AX32" s="50">
        <v>0</v>
      </c>
      <c r="AY32" s="50">
        <v>0</v>
      </c>
      <c r="AZ32" s="50">
        <v>0</v>
      </c>
      <c r="BA32" s="50">
        <v>1</v>
      </c>
      <c r="BB32" s="50">
        <v>0</v>
      </c>
      <c r="BC32" s="50">
        <v>0</v>
      </c>
      <c r="BD32" s="50">
        <v>0</v>
      </c>
      <c r="BE32" s="50">
        <v>1</v>
      </c>
      <c r="BF32" s="50">
        <v>0</v>
      </c>
      <c r="BG32" s="41">
        <f t="shared" si="1"/>
        <v>90.493883850376633</v>
      </c>
      <c r="BH32" s="41">
        <f t="shared" si="2"/>
        <v>124.79675334389005</v>
      </c>
      <c r="BI32" s="42">
        <f t="shared" si="3"/>
        <v>-0.3214041740659227</v>
      </c>
      <c r="BJ32" s="42">
        <f t="shared" si="4"/>
        <v>-0.72215595438284452</v>
      </c>
      <c r="BK32" s="42">
        <f t="shared" si="5"/>
        <v>0.74804000699260065</v>
      </c>
      <c r="BL32" s="42">
        <f t="shared" si="6"/>
        <v>0.53573575820910058</v>
      </c>
      <c r="BM32" s="42">
        <f t="shared" si="7"/>
        <v>55.357357582091005</v>
      </c>
      <c r="BN32" s="39" t="str">
        <f t="shared" si="8"/>
        <v>B</v>
      </c>
    </row>
    <row r="33" spans="1:66" s="24" customFormat="1" ht="13.5" x14ac:dyDescent="0.35">
      <c r="A33" s="38">
        <v>32</v>
      </c>
      <c r="B33" s="28" t="s">
        <v>35</v>
      </c>
      <c r="C33" s="39">
        <f t="shared" si="0"/>
        <v>21</v>
      </c>
      <c r="D33" s="47">
        <v>1</v>
      </c>
      <c r="E33" s="47">
        <v>1</v>
      </c>
      <c r="F33" s="47">
        <v>0</v>
      </c>
      <c r="G33" s="47">
        <v>0</v>
      </c>
      <c r="H33" s="47">
        <v>1</v>
      </c>
      <c r="I33" s="47">
        <v>1</v>
      </c>
      <c r="J33" s="47">
        <v>1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1</v>
      </c>
      <c r="Q33" s="47">
        <v>0</v>
      </c>
      <c r="R33" s="54">
        <v>0</v>
      </c>
      <c r="S33" s="47">
        <v>1</v>
      </c>
      <c r="T33" s="47">
        <v>1</v>
      </c>
      <c r="U33" s="47">
        <v>1</v>
      </c>
      <c r="V33" s="47">
        <v>1</v>
      </c>
      <c r="W33" s="47">
        <v>1</v>
      </c>
      <c r="X33" s="47">
        <v>0</v>
      </c>
      <c r="Y33" s="47">
        <v>1</v>
      </c>
      <c r="Z33" s="47">
        <v>1</v>
      </c>
      <c r="AA33" s="47">
        <v>0</v>
      </c>
      <c r="AB33" s="47">
        <v>0</v>
      </c>
      <c r="AC33" s="47">
        <v>0</v>
      </c>
      <c r="AD33" s="47">
        <v>0</v>
      </c>
      <c r="AE33" s="47">
        <v>1</v>
      </c>
      <c r="AF33" s="47">
        <v>1</v>
      </c>
      <c r="AG33" s="47">
        <v>1</v>
      </c>
      <c r="AH33" s="47">
        <v>1</v>
      </c>
      <c r="AI33" s="47">
        <v>1</v>
      </c>
      <c r="AJ33" s="47">
        <v>0</v>
      </c>
      <c r="AK33" s="47">
        <v>0</v>
      </c>
      <c r="AL33" s="47">
        <v>0</v>
      </c>
      <c r="AM33" s="50">
        <v>0</v>
      </c>
      <c r="AN33" s="50">
        <v>0</v>
      </c>
      <c r="AO33" s="50">
        <v>0</v>
      </c>
      <c r="AP33" s="50">
        <v>1</v>
      </c>
      <c r="AQ33" s="50">
        <v>0</v>
      </c>
      <c r="AR33" s="50">
        <v>0</v>
      </c>
      <c r="AS33" s="50">
        <v>0</v>
      </c>
      <c r="AT33" s="50">
        <v>1</v>
      </c>
      <c r="AU33" s="50">
        <v>0</v>
      </c>
      <c r="AV33" s="50">
        <v>0</v>
      </c>
      <c r="AW33" s="50">
        <v>0</v>
      </c>
      <c r="AX33" s="50">
        <v>0</v>
      </c>
      <c r="AY33" s="50">
        <v>0</v>
      </c>
      <c r="AZ33" s="50">
        <v>0</v>
      </c>
      <c r="BA33" s="50">
        <v>1</v>
      </c>
      <c r="BB33" s="50">
        <v>0</v>
      </c>
      <c r="BC33" s="50">
        <v>0</v>
      </c>
      <c r="BD33" s="50">
        <v>0</v>
      </c>
      <c r="BE33" s="50">
        <v>0</v>
      </c>
      <c r="BF33" s="50">
        <v>0</v>
      </c>
      <c r="BG33" s="41">
        <f t="shared" si="1"/>
        <v>65.349340236195104</v>
      </c>
      <c r="BH33" s="41">
        <f t="shared" si="2"/>
        <v>149.94129695807158</v>
      </c>
      <c r="BI33" s="42">
        <f t="shared" si="3"/>
        <v>-0.83049651971543459</v>
      </c>
      <c r="BJ33" s="42">
        <f t="shared" si="4"/>
        <v>-0.72215595438284452</v>
      </c>
      <c r="BK33" s="42">
        <f t="shared" si="5"/>
        <v>0.74804000699260065</v>
      </c>
      <c r="BL33" s="42">
        <f t="shared" si="6"/>
        <v>-0.14483258157295553</v>
      </c>
      <c r="BM33" s="42">
        <f t="shared" si="7"/>
        <v>48.551674184270446</v>
      </c>
      <c r="BN33" s="39" t="str">
        <f t="shared" si="8"/>
        <v>C</v>
      </c>
    </row>
    <row r="34" spans="1:66" s="24" customFormat="1" ht="13.5" x14ac:dyDescent="0.35">
      <c r="A34" s="38">
        <v>33</v>
      </c>
      <c r="B34" s="28" t="s">
        <v>28</v>
      </c>
      <c r="C34" s="39">
        <f t="shared" si="0"/>
        <v>30</v>
      </c>
      <c r="D34" s="47">
        <v>1</v>
      </c>
      <c r="E34" s="47">
        <v>1</v>
      </c>
      <c r="F34" s="47">
        <v>1</v>
      </c>
      <c r="G34" s="47">
        <v>1</v>
      </c>
      <c r="H34" s="47">
        <v>1</v>
      </c>
      <c r="I34" s="47">
        <v>0</v>
      </c>
      <c r="J34" s="47">
        <v>1</v>
      </c>
      <c r="K34" s="47">
        <v>1</v>
      </c>
      <c r="L34" s="47">
        <v>1</v>
      </c>
      <c r="M34" s="47">
        <v>1</v>
      </c>
      <c r="N34" s="47">
        <v>1</v>
      </c>
      <c r="O34" s="47">
        <v>1</v>
      </c>
      <c r="P34" s="47">
        <v>1</v>
      </c>
      <c r="Q34" s="47">
        <v>1</v>
      </c>
      <c r="R34" s="54">
        <v>0</v>
      </c>
      <c r="S34" s="47">
        <v>0</v>
      </c>
      <c r="T34" s="47">
        <v>1</v>
      </c>
      <c r="U34" s="47">
        <v>0</v>
      </c>
      <c r="V34" s="47">
        <v>1</v>
      </c>
      <c r="W34" s="47">
        <v>1</v>
      </c>
      <c r="X34" s="47">
        <v>1</v>
      </c>
      <c r="Y34" s="47">
        <v>0</v>
      </c>
      <c r="Z34" s="47">
        <v>0</v>
      </c>
      <c r="AA34" s="47">
        <v>1</v>
      </c>
      <c r="AB34" s="47">
        <v>0</v>
      </c>
      <c r="AC34" s="47">
        <v>1</v>
      </c>
      <c r="AD34" s="47">
        <v>0</v>
      </c>
      <c r="AE34" s="47">
        <v>1</v>
      </c>
      <c r="AF34" s="47">
        <v>1</v>
      </c>
      <c r="AG34" s="47">
        <v>0</v>
      </c>
      <c r="AH34" s="47">
        <v>1</v>
      </c>
      <c r="AI34" s="47">
        <v>1</v>
      </c>
      <c r="AJ34" s="47">
        <v>1</v>
      </c>
      <c r="AK34" s="47">
        <v>1</v>
      </c>
      <c r="AL34" s="47">
        <v>1</v>
      </c>
      <c r="AM34" s="50">
        <v>1</v>
      </c>
      <c r="AN34" s="50">
        <v>0</v>
      </c>
      <c r="AO34" s="50">
        <v>0</v>
      </c>
      <c r="AP34" s="50">
        <v>0</v>
      </c>
      <c r="AQ34" s="50">
        <v>1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1</v>
      </c>
      <c r="BC34" s="50">
        <v>0</v>
      </c>
      <c r="BD34" s="50">
        <v>1</v>
      </c>
      <c r="BE34" s="50">
        <v>0</v>
      </c>
      <c r="BF34" s="50">
        <v>0</v>
      </c>
      <c r="BG34" s="41">
        <f t="shared" si="1"/>
        <v>95.793153678548038</v>
      </c>
      <c r="BH34" s="41">
        <f t="shared" si="2"/>
        <v>119.49748351571864</v>
      </c>
      <c r="BI34" s="42">
        <f t="shared" si="3"/>
        <v>-0.22110409501419404</v>
      </c>
      <c r="BJ34" s="42">
        <f t="shared" si="4"/>
        <v>-0.72215595438284452</v>
      </c>
      <c r="BK34" s="42">
        <f t="shared" si="5"/>
        <v>0.74804000699260065</v>
      </c>
      <c r="BL34" s="42">
        <f t="shared" si="6"/>
        <v>0.66981960147167197</v>
      </c>
      <c r="BM34" s="42">
        <f t="shared" si="7"/>
        <v>56.698196014716721</v>
      </c>
      <c r="BN34" s="39" t="str">
        <f t="shared" si="8"/>
        <v>B</v>
      </c>
    </row>
    <row r="35" spans="1:66" s="24" customFormat="1" ht="13.5" x14ac:dyDescent="0.35">
      <c r="A35" s="38">
        <v>34</v>
      </c>
      <c r="B35" s="28" t="s">
        <v>452</v>
      </c>
      <c r="C35" s="39">
        <f t="shared" si="0"/>
        <v>17</v>
      </c>
      <c r="D35" s="47">
        <v>1</v>
      </c>
      <c r="E35" s="47">
        <v>1</v>
      </c>
      <c r="F35" s="47">
        <v>0</v>
      </c>
      <c r="G35" s="47">
        <v>0</v>
      </c>
      <c r="H35" s="47">
        <v>1</v>
      </c>
      <c r="I35" s="47">
        <v>0</v>
      </c>
      <c r="J35" s="47">
        <v>0</v>
      </c>
      <c r="K35" s="47">
        <v>0</v>
      </c>
      <c r="L35" s="47">
        <v>1</v>
      </c>
      <c r="M35" s="47">
        <v>0</v>
      </c>
      <c r="N35" s="47">
        <v>0</v>
      </c>
      <c r="O35" s="47">
        <v>0</v>
      </c>
      <c r="P35" s="47">
        <v>1</v>
      </c>
      <c r="Q35" s="47">
        <v>1</v>
      </c>
      <c r="R35" s="54">
        <v>1</v>
      </c>
      <c r="S35" s="47">
        <v>1</v>
      </c>
      <c r="T35" s="47">
        <v>1</v>
      </c>
      <c r="U35" s="47">
        <v>0</v>
      </c>
      <c r="V35" s="47">
        <v>0</v>
      </c>
      <c r="W35" s="47">
        <v>0</v>
      </c>
      <c r="X35" s="47">
        <v>0</v>
      </c>
      <c r="Y35" s="47">
        <v>1</v>
      </c>
      <c r="Z35" s="47">
        <v>1</v>
      </c>
      <c r="AA35" s="47">
        <v>0</v>
      </c>
      <c r="AB35" s="47">
        <v>1</v>
      </c>
      <c r="AC35" s="47">
        <v>1</v>
      </c>
      <c r="AD35" s="47">
        <v>0</v>
      </c>
      <c r="AE35" s="47">
        <v>0</v>
      </c>
      <c r="AF35" s="47">
        <v>0</v>
      </c>
      <c r="AG35" s="47">
        <v>1</v>
      </c>
      <c r="AH35" s="47">
        <v>0</v>
      </c>
      <c r="AI35" s="47">
        <v>0</v>
      </c>
      <c r="AJ35" s="47">
        <v>0</v>
      </c>
      <c r="AK35" s="47">
        <v>0</v>
      </c>
      <c r="AL35" s="47">
        <v>1</v>
      </c>
      <c r="AM35" s="50">
        <v>0</v>
      </c>
      <c r="AN35" s="50">
        <v>0</v>
      </c>
      <c r="AO35" s="50">
        <v>1</v>
      </c>
      <c r="AP35" s="50">
        <v>1</v>
      </c>
      <c r="AQ35" s="50">
        <v>0</v>
      </c>
      <c r="AR35" s="50">
        <v>0</v>
      </c>
      <c r="AS35" s="50">
        <v>0</v>
      </c>
      <c r="AT35" s="50">
        <v>0</v>
      </c>
      <c r="AU35" s="50">
        <v>0</v>
      </c>
      <c r="AV35" s="50">
        <v>0</v>
      </c>
      <c r="AW35" s="50">
        <v>0</v>
      </c>
      <c r="AX35" s="50">
        <v>0</v>
      </c>
      <c r="AY35" s="50">
        <v>0</v>
      </c>
      <c r="AZ35" s="50">
        <v>0</v>
      </c>
      <c r="BA35" s="50">
        <v>0</v>
      </c>
      <c r="BB35" s="50">
        <v>0</v>
      </c>
      <c r="BC35" s="50">
        <v>0</v>
      </c>
      <c r="BD35" s="50">
        <v>0</v>
      </c>
      <c r="BE35" s="50">
        <v>0</v>
      </c>
      <c r="BF35" s="50">
        <v>0</v>
      </c>
      <c r="BG35" s="41">
        <f t="shared" si="1"/>
        <v>53.023067705630865</v>
      </c>
      <c r="BH35" s="41">
        <f t="shared" si="2"/>
        <v>162.26756948863581</v>
      </c>
      <c r="BI35" s="42">
        <f t="shared" si="3"/>
        <v>-1.1185195776546875</v>
      </c>
      <c r="BJ35" s="42">
        <f t="shared" si="4"/>
        <v>-0.72215595438284452</v>
      </c>
      <c r="BK35" s="42">
        <f t="shared" si="5"/>
        <v>0.74804000699260065</v>
      </c>
      <c r="BL35" s="42">
        <f t="shared" si="6"/>
        <v>-0.52986955185107321</v>
      </c>
      <c r="BM35" s="42">
        <f t="shared" si="7"/>
        <v>44.701304481489267</v>
      </c>
      <c r="BN35" s="39" t="str">
        <f t="shared" si="8"/>
        <v>NC</v>
      </c>
    </row>
    <row r="36" spans="1:66" s="24" customFormat="1" ht="13.5" x14ac:dyDescent="0.35">
      <c r="A36" s="38">
        <v>35</v>
      </c>
      <c r="B36" s="28" t="s">
        <v>515</v>
      </c>
      <c r="C36" s="39">
        <f t="shared" si="0"/>
        <v>18</v>
      </c>
      <c r="D36" s="47">
        <v>1</v>
      </c>
      <c r="E36" s="47">
        <v>1</v>
      </c>
      <c r="F36" s="47">
        <v>1</v>
      </c>
      <c r="G36" s="47">
        <v>0</v>
      </c>
      <c r="H36" s="47">
        <v>1</v>
      </c>
      <c r="I36" s="47">
        <v>1</v>
      </c>
      <c r="J36" s="47">
        <v>1</v>
      </c>
      <c r="K36" s="47">
        <v>0</v>
      </c>
      <c r="L36" s="47">
        <v>1</v>
      </c>
      <c r="M36" s="47">
        <v>1</v>
      </c>
      <c r="N36" s="47">
        <v>0</v>
      </c>
      <c r="O36" s="47">
        <v>0</v>
      </c>
      <c r="P36" s="47">
        <v>1</v>
      </c>
      <c r="Q36" s="47">
        <v>1</v>
      </c>
      <c r="R36" s="54">
        <v>1</v>
      </c>
      <c r="S36" s="47">
        <v>1</v>
      </c>
      <c r="T36" s="47">
        <v>1</v>
      </c>
      <c r="U36" s="47">
        <v>1</v>
      </c>
      <c r="V36" s="47">
        <v>0</v>
      </c>
      <c r="W36" s="47">
        <v>1</v>
      </c>
      <c r="X36" s="47">
        <v>1</v>
      </c>
      <c r="Y36" s="47">
        <v>1</v>
      </c>
      <c r="Z36" s="47">
        <v>1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1">
        <f t="shared" si="1"/>
        <v>50.463362233964638</v>
      </c>
      <c r="BH36" s="41">
        <f t="shared" si="2"/>
        <v>164.82727496030205</v>
      </c>
      <c r="BI36" s="42">
        <f t="shared" si="3"/>
        <v>-1.1836505345200172</v>
      </c>
      <c r="BJ36" s="42">
        <f t="shared" si="4"/>
        <v>-0.72215595438284452</v>
      </c>
      <c r="BK36" s="42">
        <f t="shared" si="5"/>
        <v>0.74804000699260065</v>
      </c>
      <c r="BL36" s="42">
        <f t="shared" si="6"/>
        <v>-0.61693836669585733</v>
      </c>
      <c r="BM36" s="42">
        <f t="shared" si="7"/>
        <v>43.830616333041426</v>
      </c>
      <c r="BN36" s="39" t="str">
        <f t="shared" si="8"/>
        <v>NC</v>
      </c>
    </row>
    <row r="37" spans="1:66" s="24" customFormat="1" ht="13.5" x14ac:dyDescent="0.35">
      <c r="A37" s="38">
        <v>36</v>
      </c>
      <c r="B37" s="28" t="s">
        <v>457</v>
      </c>
      <c r="C37" s="39">
        <f t="shared" si="0"/>
        <v>27</v>
      </c>
      <c r="D37" s="47">
        <v>1</v>
      </c>
      <c r="E37" s="47">
        <v>1</v>
      </c>
      <c r="F37" s="47">
        <v>0</v>
      </c>
      <c r="G37" s="47">
        <v>0</v>
      </c>
      <c r="H37" s="47">
        <v>1</v>
      </c>
      <c r="I37" s="47">
        <v>1</v>
      </c>
      <c r="J37" s="47">
        <v>1</v>
      </c>
      <c r="K37" s="47">
        <v>0</v>
      </c>
      <c r="L37" s="47">
        <v>0</v>
      </c>
      <c r="M37" s="47">
        <v>1</v>
      </c>
      <c r="N37" s="47">
        <v>0</v>
      </c>
      <c r="O37" s="47">
        <v>1</v>
      </c>
      <c r="P37" s="47">
        <v>1</v>
      </c>
      <c r="Q37" s="47">
        <v>1</v>
      </c>
      <c r="R37" s="54">
        <v>0</v>
      </c>
      <c r="S37" s="47">
        <v>1</v>
      </c>
      <c r="T37" s="47">
        <v>1</v>
      </c>
      <c r="U37" s="47">
        <v>1</v>
      </c>
      <c r="V37" s="47">
        <v>1</v>
      </c>
      <c r="W37" s="47">
        <v>1</v>
      </c>
      <c r="X37" s="47">
        <v>1</v>
      </c>
      <c r="Y37" s="47">
        <v>1</v>
      </c>
      <c r="Z37" s="47">
        <v>1</v>
      </c>
      <c r="AA37" s="47">
        <v>1</v>
      </c>
      <c r="AB37" s="47">
        <v>1</v>
      </c>
      <c r="AC37" s="47">
        <v>1</v>
      </c>
      <c r="AD37" s="47">
        <v>0</v>
      </c>
      <c r="AE37" s="47">
        <v>0</v>
      </c>
      <c r="AF37" s="47">
        <v>0</v>
      </c>
      <c r="AG37" s="47">
        <v>0</v>
      </c>
      <c r="AH37" s="47">
        <v>1</v>
      </c>
      <c r="AI37" s="47">
        <v>0</v>
      </c>
      <c r="AJ37" s="47">
        <v>0</v>
      </c>
      <c r="AK37" s="47">
        <v>1</v>
      </c>
      <c r="AL37" s="47">
        <v>0</v>
      </c>
      <c r="AM37" s="47">
        <v>1</v>
      </c>
      <c r="AN37" s="47">
        <v>0</v>
      </c>
      <c r="AO37" s="47">
        <v>0</v>
      </c>
      <c r="AP37" s="47">
        <v>0</v>
      </c>
      <c r="AQ37" s="47">
        <v>1</v>
      </c>
      <c r="AR37" s="47">
        <v>1</v>
      </c>
      <c r="AS37" s="47">
        <v>0</v>
      </c>
      <c r="AT37" s="47">
        <v>0</v>
      </c>
      <c r="AU37" s="47">
        <v>1</v>
      </c>
      <c r="AV37" s="47">
        <v>1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1">
        <f t="shared" si="1"/>
        <v>81.989921547631269</v>
      </c>
      <c r="BH37" s="41">
        <f t="shared" si="2"/>
        <v>133.30071564663541</v>
      </c>
      <c r="BI37" s="42">
        <f t="shared" si="3"/>
        <v>-0.48601126410745499</v>
      </c>
      <c r="BJ37" s="42">
        <f t="shared" si="4"/>
        <v>-0.72215595438284452</v>
      </c>
      <c r="BK37" s="42">
        <f t="shared" si="5"/>
        <v>0.74804000699260065</v>
      </c>
      <c r="BL37" s="42">
        <f t="shared" si="6"/>
        <v>0.31568457310830089</v>
      </c>
      <c r="BM37" s="42">
        <f t="shared" si="7"/>
        <v>53.15684573108301</v>
      </c>
      <c r="BN37" s="39" t="str">
        <f t="shared" si="8"/>
        <v>C+</v>
      </c>
    </row>
    <row r="38" spans="1:66" s="24" customFormat="1" ht="13.5" x14ac:dyDescent="0.35">
      <c r="A38" s="38">
        <v>37</v>
      </c>
      <c r="B38" s="28" t="s">
        <v>441</v>
      </c>
      <c r="C38" s="39">
        <f t="shared" si="0"/>
        <v>30</v>
      </c>
      <c r="D38" s="47">
        <v>0</v>
      </c>
      <c r="E38" s="47">
        <v>1</v>
      </c>
      <c r="F38" s="47">
        <v>0</v>
      </c>
      <c r="G38" s="47">
        <v>1</v>
      </c>
      <c r="H38" s="47">
        <v>1</v>
      </c>
      <c r="I38" s="47">
        <v>1</v>
      </c>
      <c r="J38" s="47">
        <v>1</v>
      </c>
      <c r="K38" s="47">
        <v>1</v>
      </c>
      <c r="L38" s="47">
        <v>1</v>
      </c>
      <c r="M38" s="47">
        <v>1</v>
      </c>
      <c r="N38" s="47">
        <v>0</v>
      </c>
      <c r="O38" s="47">
        <v>0</v>
      </c>
      <c r="P38" s="47">
        <v>1</v>
      </c>
      <c r="Q38" s="47">
        <v>1</v>
      </c>
      <c r="R38" s="54">
        <v>1</v>
      </c>
      <c r="S38" s="47">
        <v>1</v>
      </c>
      <c r="T38" s="47">
        <v>0</v>
      </c>
      <c r="U38" s="47">
        <v>1</v>
      </c>
      <c r="V38" s="47">
        <v>1</v>
      </c>
      <c r="W38" s="47">
        <v>1</v>
      </c>
      <c r="X38" s="47">
        <v>0</v>
      </c>
      <c r="Y38" s="47">
        <v>0</v>
      </c>
      <c r="Z38" s="47">
        <v>0</v>
      </c>
      <c r="AA38" s="47">
        <v>1</v>
      </c>
      <c r="AB38" s="47">
        <v>0</v>
      </c>
      <c r="AC38" s="47">
        <v>1</v>
      </c>
      <c r="AD38" s="47">
        <v>1</v>
      </c>
      <c r="AE38" s="47">
        <v>1</v>
      </c>
      <c r="AF38" s="47">
        <v>0</v>
      </c>
      <c r="AG38" s="47">
        <v>1</v>
      </c>
      <c r="AH38" s="47">
        <v>1</v>
      </c>
      <c r="AI38" s="47">
        <v>0</v>
      </c>
      <c r="AJ38" s="47">
        <v>1</v>
      </c>
      <c r="AK38" s="47">
        <v>1</v>
      </c>
      <c r="AL38" s="47">
        <v>1</v>
      </c>
      <c r="AM38" s="50">
        <v>1</v>
      </c>
      <c r="AN38" s="50">
        <v>0</v>
      </c>
      <c r="AO38" s="50">
        <v>0</v>
      </c>
      <c r="AP38" s="50">
        <v>0</v>
      </c>
      <c r="AQ38" s="50">
        <v>1</v>
      </c>
      <c r="AR38" s="50">
        <v>0</v>
      </c>
      <c r="AS38" s="50">
        <v>1</v>
      </c>
      <c r="AT38" s="50">
        <v>0</v>
      </c>
      <c r="AU38" s="50">
        <v>1</v>
      </c>
      <c r="AV38" s="50">
        <v>1</v>
      </c>
      <c r="AW38" s="50">
        <v>0</v>
      </c>
      <c r="AX38" s="50">
        <v>0</v>
      </c>
      <c r="AY38" s="50">
        <v>0</v>
      </c>
      <c r="AZ38" s="50">
        <v>0</v>
      </c>
      <c r="BA38" s="50">
        <v>0</v>
      </c>
      <c r="BB38" s="50">
        <v>0</v>
      </c>
      <c r="BC38" s="50">
        <v>0</v>
      </c>
      <c r="BD38" s="50">
        <v>1</v>
      </c>
      <c r="BE38" s="50">
        <v>0</v>
      </c>
      <c r="BF38" s="50">
        <v>0</v>
      </c>
      <c r="BG38" s="41">
        <f t="shared" si="1"/>
        <v>100.99778433276249</v>
      </c>
      <c r="BH38" s="41">
        <f t="shared" si="2"/>
        <v>114.29285286150419</v>
      </c>
      <c r="BI38" s="42">
        <f t="shared" si="3"/>
        <v>-0.12366545989882038</v>
      </c>
      <c r="BJ38" s="42">
        <f t="shared" si="4"/>
        <v>-0.72215595438284452</v>
      </c>
      <c r="BK38" s="42">
        <f t="shared" si="5"/>
        <v>0.74804000699260065</v>
      </c>
      <c r="BL38" s="42">
        <f t="shared" si="6"/>
        <v>0.8000781895211444</v>
      </c>
      <c r="BM38" s="42">
        <f t="shared" si="7"/>
        <v>58.000781895211446</v>
      </c>
      <c r="BN38" s="39" t="str">
        <f t="shared" si="8"/>
        <v>B</v>
      </c>
    </row>
    <row r="39" spans="1:66" s="24" customFormat="1" ht="13.5" x14ac:dyDescent="0.35">
      <c r="A39" s="38">
        <v>38</v>
      </c>
      <c r="B39" s="33" t="s">
        <v>490</v>
      </c>
      <c r="C39" s="39">
        <f t="shared" si="0"/>
        <v>17</v>
      </c>
      <c r="D39" s="47">
        <v>1</v>
      </c>
      <c r="E39" s="47">
        <v>1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1</v>
      </c>
      <c r="L39" s="47">
        <v>1</v>
      </c>
      <c r="M39" s="47">
        <v>0</v>
      </c>
      <c r="N39" s="47">
        <v>0</v>
      </c>
      <c r="O39" s="47">
        <v>1</v>
      </c>
      <c r="P39" s="47">
        <v>1</v>
      </c>
      <c r="Q39" s="47">
        <v>0</v>
      </c>
      <c r="R39" s="54">
        <v>0</v>
      </c>
      <c r="S39" s="47">
        <v>1</v>
      </c>
      <c r="T39" s="47">
        <v>1</v>
      </c>
      <c r="U39" s="47">
        <v>0</v>
      </c>
      <c r="V39" s="47">
        <v>0</v>
      </c>
      <c r="W39" s="47">
        <v>0</v>
      </c>
      <c r="X39" s="47">
        <v>0</v>
      </c>
      <c r="Y39" s="47">
        <v>1</v>
      </c>
      <c r="Z39" s="47">
        <v>0</v>
      </c>
      <c r="AA39" s="47">
        <v>0</v>
      </c>
      <c r="AB39" s="47">
        <v>1</v>
      </c>
      <c r="AC39" s="47">
        <v>1</v>
      </c>
      <c r="AD39" s="47">
        <v>0</v>
      </c>
      <c r="AE39" s="47">
        <v>1</v>
      </c>
      <c r="AF39" s="47">
        <v>1</v>
      </c>
      <c r="AG39" s="47">
        <v>0</v>
      </c>
      <c r="AH39" s="47">
        <v>0</v>
      </c>
      <c r="AI39" s="47">
        <v>0</v>
      </c>
      <c r="AJ39" s="47">
        <v>1</v>
      </c>
      <c r="AK39" s="47">
        <v>1</v>
      </c>
      <c r="AL39" s="47">
        <v>0</v>
      </c>
      <c r="AM39" s="50">
        <v>0</v>
      </c>
      <c r="AN39" s="50">
        <v>0</v>
      </c>
      <c r="AO39" s="50">
        <v>1</v>
      </c>
      <c r="AP39" s="50">
        <v>0</v>
      </c>
      <c r="AQ39" s="50">
        <v>1</v>
      </c>
      <c r="AR39" s="50">
        <v>0</v>
      </c>
      <c r="AS39" s="50">
        <v>0</v>
      </c>
      <c r="AT39" s="50">
        <v>0</v>
      </c>
      <c r="AU39" s="50">
        <v>0</v>
      </c>
      <c r="AV39" s="50">
        <v>0</v>
      </c>
      <c r="AW39" s="50">
        <v>0</v>
      </c>
      <c r="AX39" s="50">
        <v>0</v>
      </c>
      <c r="AY39" s="50">
        <v>0</v>
      </c>
      <c r="AZ39" s="50">
        <v>0</v>
      </c>
      <c r="BA39" s="50">
        <v>0</v>
      </c>
      <c r="BB39" s="50">
        <v>0</v>
      </c>
      <c r="BC39" s="50">
        <v>0</v>
      </c>
      <c r="BD39" s="50">
        <v>0</v>
      </c>
      <c r="BE39" s="50">
        <v>0</v>
      </c>
      <c r="BF39" s="50">
        <v>0</v>
      </c>
      <c r="BG39" s="41">
        <f t="shared" si="1"/>
        <v>50.283190568546154</v>
      </c>
      <c r="BH39" s="41">
        <f t="shared" si="2"/>
        <v>165.00744662572052</v>
      </c>
      <c r="BI39" s="42">
        <f t="shared" si="3"/>
        <v>-1.1883197662211522</v>
      </c>
      <c r="BJ39" s="42">
        <f t="shared" si="4"/>
        <v>-0.72215595438284452</v>
      </c>
      <c r="BK39" s="42">
        <f t="shared" si="5"/>
        <v>0.74804000699260065</v>
      </c>
      <c r="BL39" s="42">
        <f t="shared" si="6"/>
        <v>-0.62318032121364708</v>
      </c>
      <c r="BM39" s="42">
        <f t="shared" si="7"/>
        <v>43.768196787863531</v>
      </c>
      <c r="BN39" s="39" t="str">
        <f t="shared" si="8"/>
        <v>NC</v>
      </c>
    </row>
    <row r="40" spans="1:66" s="24" customFormat="1" ht="13.5" x14ac:dyDescent="0.35">
      <c r="A40" s="38">
        <v>39</v>
      </c>
      <c r="B40" s="28" t="s">
        <v>456</v>
      </c>
      <c r="C40" s="39">
        <f t="shared" si="0"/>
        <v>26</v>
      </c>
      <c r="D40" s="47">
        <v>1</v>
      </c>
      <c r="E40" s="47">
        <v>1</v>
      </c>
      <c r="F40" s="47">
        <v>0</v>
      </c>
      <c r="G40" s="47">
        <v>1</v>
      </c>
      <c r="H40" s="47">
        <v>1</v>
      </c>
      <c r="I40" s="47">
        <v>1</v>
      </c>
      <c r="J40" s="47">
        <v>1</v>
      </c>
      <c r="K40" s="47">
        <v>1</v>
      </c>
      <c r="L40" s="47">
        <v>1</v>
      </c>
      <c r="M40" s="47">
        <v>1</v>
      </c>
      <c r="N40" s="47">
        <v>0</v>
      </c>
      <c r="O40" s="47">
        <v>0</v>
      </c>
      <c r="P40" s="47">
        <v>1</v>
      </c>
      <c r="Q40" s="47">
        <v>1</v>
      </c>
      <c r="R40" s="54">
        <v>1</v>
      </c>
      <c r="S40" s="47">
        <v>0</v>
      </c>
      <c r="T40" s="47">
        <v>1</v>
      </c>
      <c r="U40" s="47">
        <v>0</v>
      </c>
      <c r="V40" s="47">
        <v>0</v>
      </c>
      <c r="W40" s="47">
        <v>0</v>
      </c>
      <c r="X40" s="47">
        <v>0</v>
      </c>
      <c r="Y40" s="47">
        <v>1</v>
      </c>
      <c r="Z40" s="47">
        <v>1</v>
      </c>
      <c r="AA40" s="47">
        <v>0</v>
      </c>
      <c r="AB40" s="47">
        <v>1</v>
      </c>
      <c r="AC40" s="47">
        <v>1</v>
      </c>
      <c r="AD40" s="47">
        <v>0</v>
      </c>
      <c r="AE40" s="47">
        <v>1</v>
      </c>
      <c r="AF40" s="47">
        <v>1</v>
      </c>
      <c r="AG40" s="47">
        <v>0</v>
      </c>
      <c r="AH40" s="47">
        <v>1</v>
      </c>
      <c r="AI40" s="47">
        <v>0</v>
      </c>
      <c r="AJ40" s="47">
        <v>1</v>
      </c>
      <c r="AK40" s="47">
        <v>0</v>
      </c>
      <c r="AL40" s="47">
        <v>0</v>
      </c>
      <c r="AM40" s="50">
        <v>1</v>
      </c>
      <c r="AN40" s="50">
        <v>1</v>
      </c>
      <c r="AO40" s="50">
        <v>0</v>
      </c>
      <c r="AP40" s="50">
        <v>0</v>
      </c>
      <c r="AQ40" s="50">
        <v>0</v>
      </c>
      <c r="AR40" s="50">
        <v>1</v>
      </c>
      <c r="AS40" s="50">
        <v>0</v>
      </c>
      <c r="AT40" s="50">
        <v>0</v>
      </c>
      <c r="AU40" s="50">
        <v>0</v>
      </c>
      <c r="AV40" s="50">
        <v>1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1</v>
      </c>
      <c r="BE40" s="50">
        <v>0</v>
      </c>
      <c r="BF40" s="50">
        <v>0</v>
      </c>
      <c r="BG40" s="41">
        <f t="shared" si="1"/>
        <v>82.811510345296043</v>
      </c>
      <c r="BH40" s="41">
        <f t="shared" si="2"/>
        <v>132.47912684897062</v>
      </c>
      <c r="BI40" s="42">
        <f t="shared" si="3"/>
        <v>-0.46985803423953609</v>
      </c>
      <c r="BJ40" s="42">
        <f t="shared" si="4"/>
        <v>-0.72215595438284452</v>
      </c>
      <c r="BK40" s="42">
        <f t="shared" si="5"/>
        <v>0.74804000699260065</v>
      </c>
      <c r="BL40" s="42">
        <f t="shared" si="6"/>
        <v>0.33727864523936363</v>
      </c>
      <c r="BM40" s="42">
        <f t="shared" si="7"/>
        <v>53.372786452393633</v>
      </c>
      <c r="BN40" s="39" t="str">
        <f t="shared" si="8"/>
        <v>C+</v>
      </c>
    </row>
    <row r="41" spans="1:66" x14ac:dyDescent="0.45">
      <c r="A41" s="38">
        <v>40</v>
      </c>
      <c r="B41" s="33" t="s">
        <v>516</v>
      </c>
      <c r="C41" s="39">
        <f t="shared" si="0"/>
        <v>21</v>
      </c>
      <c r="D41" s="47">
        <v>1</v>
      </c>
      <c r="E41" s="47">
        <v>1</v>
      </c>
      <c r="F41" s="47">
        <v>1</v>
      </c>
      <c r="G41" s="47">
        <v>1</v>
      </c>
      <c r="H41" s="47">
        <v>1</v>
      </c>
      <c r="I41" s="47">
        <v>1</v>
      </c>
      <c r="J41" s="47">
        <v>1</v>
      </c>
      <c r="K41" s="47">
        <v>1</v>
      </c>
      <c r="L41" s="47">
        <v>1</v>
      </c>
      <c r="M41" s="47">
        <v>1</v>
      </c>
      <c r="N41" s="47">
        <v>0</v>
      </c>
      <c r="O41" s="47">
        <v>1</v>
      </c>
      <c r="P41" s="47">
        <v>0</v>
      </c>
      <c r="Q41" s="47">
        <v>0</v>
      </c>
      <c r="R41" s="54">
        <v>0</v>
      </c>
      <c r="S41" s="47">
        <v>1</v>
      </c>
      <c r="T41" s="47">
        <v>1</v>
      </c>
      <c r="U41" s="47">
        <v>1</v>
      </c>
      <c r="V41" s="47">
        <v>0</v>
      </c>
      <c r="W41" s="47">
        <v>0</v>
      </c>
      <c r="X41" s="47">
        <v>0</v>
      </c>
      <c r="Y41" s="47">
        <v>0</v>
      </c>
      <c r="Z41" s="47">
        <v>1</v>
      </c>
      <c r="AA41" s="47">
        <v>1</v>
      </c>
      <c r="AB41" s="47">
        <v>1</v>
      </c>
      <c r="AC41" s="47">
        <v>0</v>
      </c>
      <c r="AD41" s="47">
        <v>1</v>
      </c>
      <c r="AE41" s="47">
        <v>1</v>
      </c>
      <c r="AF41" s="47">
        <v>0</v>
      </c>
      <c r="AG41" s="47">
        <v>0</v>
      </c>
      <c r="AH41" s="47">
        <v>0</v>
      </c>
      <c r="AI41" s="47">
        <v>0</v>
      </c>
      <c r="AJ41" s="47">
        <v>1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1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1">
        <f t="shared" si="1"/>
        <v>62.7543577169778</v>
      </c>
      <c r="BH41" s="41">
        <f t="shared" si="2"/>
        <v>152.53627947728887</v>
      </c>
      <c r="BI41" s="42">
        <f t="shared" si="3"/>
        <v>-0.88817444467636197</v>
      </c>
      <c r="BJ41" s="42">
        <f t="shared" si="4"/>
        <v>-0.72215595438284452</v>
      </c>
      <c r="BK41" s="42">
        <f t="shared" si="5"/>
        <v>0.74804000699260065</v>
      </c>
      <c r="BL41" s="42">
        <f t="shared" si="6"/>
        <v>-0.22193798291748271</v>
      </c>
      <c r="BM41" s="42">
        <f t="shared" si="7"/>
        <v>47.780620170825173</v>
      </c>
      <c r="BN41" s="39" t="str">
        <f t="shared" si="8"/>
        <v>C</v>
      </c>
    </row>
    <row r="42" spans="1:66" x14ac:dyDescent="0.45">
      <c r="A42" s="38">
        <v>41</v>
      </c>
      <c r="B42" s="28" t="s">
        <v>20</v>
      </c>
      <c r="C42" s="39">
        <f t="shared" si="0"/>
        <v>14</v>
      </c>
      <c r="D42" s="47">
        <v>1</v>
      </c>
      <c r="E42" s="47">
        <v>1</v>
      </c>
      <c r="F42" s="47">
        <v>1</v>
      </c>
      <c r="G42" s="47">
        <v>1</v>
      </c>
      <c r="H42" s="47">
        <v>1</v>
      </c>
      <c r="I42" s="47">
        <v>0</v>
      </c>
      <c r="J42" s="47">
        <v>1</v>
      </c>
      <c r="K42" s="47">
        <v>1</v>
      </c>
      <c r="L42" s="47">
        <v>1</v>
      </c>
      <c r="M42" s="47">
        <v>0</v>
      </c>
      <c r="N42" s="47">
        <v>0</v>
      </c>
      <c r="O42" s="47">
        <v>1</v>
      </c>
      <c r="P42" s="47">
        <v>1</v>
      </c>
      <c r="Q42" s="47">
        <v>0</v>
      </c>
      <c r="R42" s="54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1</v>
      </c>
      <c r="Z42" s="47">
        <v>0</v>
      </c>
      <c r="AA42" s="47">
        <v>0</v>
      </c>
      <c r="AB42" s="47">
        <v>0</v>
      </c>
      <c r="AC42" s="47">
        <v>1</v>
      </c>
      <c r="AD42" s="47">
        <v>0</v>
      </c>
      <c r="AE42" s="47">
        <v>0</v>
      </c>
      <c r="AF42" s="47">
        <v>1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1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1">
        <f t="shared" si="1"/>
        <v>40.289844357551281</v>
      </c>
      <c r="BH42" s="41">
        <f t="shared" si="2"/>
        <v>175.00079283671539</v>
      </c>
      <c r="BI42" s="42">
        <f t="shared" si="3"/>
        <v>-1.4686910682670495</v>
      </c>
      <c r="BJ42" s="42">
        <f t="shared" si="4"/>
        <v>-0.72215595438284452</v>
      </c>
      <c r="BK42" s="42">
        <f t="shared" si="5"/>
        <v>0.74804000699260065</v>
      </c>
      <c r="BL42" s="42">
        <f t="shared" si="6"/>
        <v>-0.9979882184183626</v>
      </c>
      <c r="BM42" s="42">
        <f t="shared" si="7"/>
        <v>40.020117815816377</v>
      </c>
      <c r="BN42" s="39" t="str">
        <f t="shared" si="8"/>
        <v>NC</v>
      </c>
    </row>
    <row r="43" spans="1:66" x14ac:dyDescent="0.45">
      <c r="A43" s="38">
        <v>42</v>
      </c>
      <c r="B43" s="28" t="s">
        <v>46</v>
      </c>
      <c r="C43" s="39">
        <f t="shared" si="0"/>
        <v>20</v>
      </c>
      <c r="D43" s="47">
        <v>1</v>
      </c>
      <c r="E43" s="47">
        <v>1</v>
      </c>
      <c r="F43" s="47">
        <v>0</v>
      </c>
      <c r="G43" s="47">
        <v>0</v>
      </c>
      <c r="H43" s="47">
        <v>1</v>
      </c>
      <c r="I43" s="47">
        <v>0</v>
      </c>
      <c r="J43" s="47">
        <v>1</v>
      </c>
      <c r="K43" s="47">
        <v>0</v>
      </c>
      <c r="L43" s="47">
        <v>0</v>
      </c>
      <c r="M43" s="47">
        <v>1</v>
      </c>
      <c r="N43" s="47">
        <v>0</v>
      </c>
      <c r="O43" s="47">
        <v>0</v>
      </c>
      <c r="P43" s="47">
        <v>1</v>
      </c>
      <c r="Q43" s="47">
        <v>0</v>
      </c>
      <c r="R43" s="54">
        <v>1</v>
      </c>
      <c r="S43" s="47">
        <v>1</v>
      </c>
      <c r="T43" s="47">
        <v>1</v>
      </c>
      <c r="U43" s="47">
        <v>1</v>
      </c>
      <c r="V43" s="47">
        <v>1</v>
      </c>
      <c r="W43" s="47">
        <v>1</v>
      </c>
      <c r="X43" s="47">
        <v>1</v>
      </c>
      <c r="Y43" s="47">
        <v>0</v>
      </c>
      <c r="Z43" s="47">
        <v>1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1</v>
      </c>
      <c r="AK43" s="47">
        <v>0</v>
      </c>
      <c r="AL43" s="47">
        <v>0</v>
      </c>
      <c r="AM43" s="50">
        <v>1</v>
      </c>
      <c r="AN43" s="50">
        <v>0</v>
      </c>
      <c r="AO43" s="50">
        <v>0</v>
      </c>
      <c r="AP43" s="50">
        <v>0</v>
      </c>
      <c r="AQ43" s="50">
        <v>1</v>
      </c>
      <c r="AR43" s="50">
        <v>0</v>
      </c>
      <c r="AS43" s="50">
        <v>0</v>
      </c>
      <c r="AT43" s="50">
        <v>0</v>
      </c>
      <c r="AU43" s="50">
        <v>1</v>
      </c>
      <c r="AV43" s="50">
        <v>1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1</v>
      </c>
      <c r="BE43" s="50">
        <v>0</v>
      </c>
      <c r="BF43" s="50">
        <v>0</v>
      </c>
      <c r="BG43" s="41">
        <f t="shared" si="1"/>
        <v>62.612521208156572</v>
      </c>
      <c r="BH43" s="41">
        <f t="shared" si="2"/>
        <v>152.6781159861101</v>
      </c>
      <c r="BI43" s="42">
        <f t="shared" si="3"/>
        <v>-0.8913666107717706</v>
      </c>
      <c r="BJ43" s="42">
        <f t="shared" si="4"/>
        <v>-0.72215595438284452</v>
      </c>
      <c r="BK43" s="42">
        <f t="shared" si="5"/>
        <v>0.74804000699260065</v>
      </c>
      <c r="BL43" s="42">
        <f t="shared" si="6"/>
        <v>-0.2262053564076284</v>
      </c>
      <c r="BM43" s="42">
        <f t="shared" si="7"/>
        <v>47.737946435923718</v>
      </c>
      <c r="BN43" s="39" t="str">
        <f t="shared" si="8"/>
        <v>C</v>
      </c>
    </row>
    <row r="44" spans="1:66" x14ac:dyDescent="0.45">
      <c r="A44" s="38">
        <v>43</v>
      </c>
      <c r="B44" s="33" t="s">
        <v>461</v>
      </c>
      <c r="C44" s="39">
        <f t="shared" si="0"/>
        <v>19</v>
      </c>
      <c r="D44" s="47">
        <v>1</v>
      </c>
      <c r="E44" s="47">
        <v>1</v>
      </c>
      <c r="F44" s="47">
        <v>0</v>
      </c>
      <c r="G44" s="47">
        <v>1</v>
      </c>
      <c r="H44" s="47">
        <v>1</v>
      </c>
      <c r="I44" s="47">
        <v>1</v>
      </c>
      <c r="J44" s="47">
        <v>0</v>
      </c>
      <c r="K44" s="47">
        <v>0</v>
      </c>
      <c r="L44" s="47">
        <v>1</v>
      </c>
      <c r="M44" s="47">
        <v>1</v>
      </c>
      <c r="N44" s="47">
        <v>1</v>
      </c>
      <c r="O44" s="47">
        <v>0</v>
      </c>
      <c r="P44" s="47">
        <v>1</v>
      </c>
      <c r="Q44" s="47">
        <v>1</v>
      </c>
      <c r="R44" s="54">
        <v>1</v>
      </c>
      <c r="S44" s="47">
        <v>1</v>
      </c>
      <c r="T44" s="47">
        <v>1</v>
      </c>
      <c r="U44" s="47">
        <v>1</v>
      </c>
      <c r="V44" s="47">
        <v>1</v>
      </c>
      <c r="W44" s="47">
        <v>1</v>
      </c>
      <c r="X44" s="47">
        <v>0</v>
      </c>
      <c r="Y44" s="47">
        <v>1</v>
      </c>
      <c r="Z44" s="47">
        <v>0</v>
      </c>
      <c r="AA44" s="47">
        <v>0</v>
      </c>
      <c r="AB44" s="47">
        <v>0</v>
      </c>
      <c r="AC44" s="47">
        <v>1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1</v>
      </c>
      <c r="AM44" s="50">
        <v>0</v>
      </c>
      <c r="AN44" s="50">
        <v>0</v>
      </c>
      <c r="AO44" s="50">
        <v>0</v>
      </c>
      <c r="AP44" s="50">
        <v>0</v>
      </c>
      <c r="AQ44" s="50">
        <v>0</v>
      </c>
      <c r="AR44" s="50">
        <v>0</v>
      </c>
      <c r="AS44" s="50">
        <v>0</v>
      </c>
      <c r="AT44" s="50">
        <v>0</v>
      </c>
      <c r="AU44" s="50">
        <v>0</v>
      </c>
      <c r="AV44" s="50">
        <v>0</v>
      </c>
      <c r="AW44" s="50">
        <v>0</v>
      </c>
      <c r="AX44" s="50">
        <v>0</v>
      </c>
      <c r="AY44" s="50">
        <v>0</v>
      </c>
      <c r="AZ44" s="50">
        <v>0</v>
      </c>
      <c r="BA44" s="50">
        <v>0</v>
      </c>
      <c r="BB44" s="50">
        <v>0</v>
      </c>
      <c r="BC44" s="50">
        <v>0</v>
      </c>
      <c r="BD44" s="50">
        <v>0</v>
      </c>
      <c r="BE44" s="50">
        <v>0</v>
      </c>
      <c r="BF44" s="50">
        <v>0</v>
      </c>
      <c r="BG44" s="41">
        <f t="shared" si="1"/>
        <v>55.421353387647116</v>
      </c>
      <c r="BH44" s="41">
        <f t="shared" si="2"/>
        <v>159.86928380661956</v>
      </c>
      <c r="BI44" s="42">
        <f t="shared" si="3"/>
        <v>-1.0593915454177822</v>
      </c>
      <c r="BJ44" s="42">
        <f t="shared" si="4"/>
        <v>-0.72215595438284452</v>
      </c>
      <c r="BK44" s="42">
        <f t="shared" si="5"/>
        <v>0.74804000699260065</v>
      </c>
      <c r="BL44" s="42">
        <f t="shared" si="6"/>
        <v>-0.45082560809915817</v>
      </c>
      <c r="BM44" s="42">
        <f t="shared" si="7"/>
        <v>45.491743919008421</v>
      </c>
      <c r="BN44" s="39" t="str">
        <f t="shared" si="8"/>
        <v>C</v>
      </c>
    </row>
    <row r="45" spans="1:66" x14ac:dyDescent="0.45">
      <c r="A45" s="38">
        <v>44</v>
      </c>
      <c r="B45" s="28" t="s">
        <v>505</v>
      </c>
      <c r="C45" s="39">
        <f t="shared" si="0"/>
        <v>26</v>
      </c>
      <c r="D45" s="47">
        <v>1</v>
      </c>
      <c r="E45" s="47">
        <v>1</v>
      </c>
      <c r="F45" s="47">
        <v>0</v>
      </c>
      <c r="G45" s="47">
        <v>1</v>
      </c>
      <c r="H45" s="47">
        <v>0</v>
      </c>
      <c r="I45" s="47">
        <v>0</v>
      </c>
      <c r="J45" s="47">
        <v>1</v>
      </c>
      <c r="K45" s="47">
        <v>0</v>
      </c>
      <c r="L45" s="47">
        <v>1</v>
      </c>
      <c r="M45" s="47">
        <v>1</v>
      </c>
      <c r="N45" s="47">
        <v>0</v>
      </c>
      <c r="O45" s="47">
        <v>0</v>
      </c>
      <c r="P45" s="47">
        <v>0</v>
      </c>
      <c r="Q45" s="47">
        <v>1</v>
      </c>
      <c r="R45" s="54">
        <v>0</v>
      </c>
      <c r="S45" s="47">
        <v>1</v>
      </c>
      <c r="T45" s="47">
        <v>1</v>
      </c>
      <c r="U45" s="47">
        <v>1</v>
      </c>
      <c r="V45" s="47">
        <v>1</v>
      </c>
      <c r="W45" s="47">
        <v>1</v>
      </c>
      <c r="X45" s="47">
        <v>1</v>
      </c>
      <c r="Y45" s="47">
        <v>0</v>
      </c>
      <c r="Z45" s="47">
        <v>1</v>
      </c>
      <c r="AA45" s="47">
        <v>1</v>
      </c>
      <c r="AB45" s="47">
        <v>1</v>
      </c>
      <c r="AC45" s="47">
        <v>1</v>
      </c>
      <c r="AD45" s="47">
        <v>0</v>
      </c>
      <c r="AE45" s="47">
        <v>1</v>
      </c>
      <c r="AF45" s="47">
        <v>0</v>
      </c>
      <c r="AG45" s="47">
        <v>0</v>
      </c>
      <c r="AH45" s="47">
        <v>1</v>
      </c>
      <c r="AI45" s="47">
        <v>1</v>
      </c>
      <c r="AJ45" s="47">
        <v>1</v>
      </c>
      <c r="AK45" s="47">
        <v>0</v>
      </c>
      <c r="AL45" s="47">
        <v>1</v>
      </c>
      <c r="AM45" s="50">
        <v>0</v>
      </c>
      <c r="AN45" s="50">
        <v>0</v>
      </c>
      <c r="AO45" s="50">
        <v>0</v>
      </c>
      <c r="AP45" s="50">
        <v>1</v>
      </c>
      <c r="AQ45" s="50">
        <v>0</v>
      </c>
      <c r="AR45" s="50">
        <v>0</v>
      </c>
      <c r="AS45" s="50">
        <v>0</v>
      </c>
      <c r="AT45" s="50">
        <v>0</v>
      </c>
      <c r="AU45" s="50">
        <v>1</v>
      </c>
      <c r="AV45" s="50">
        <v>1</v>
      </c>
      <c r="AW45" s="50">
        <v>0</v>
      </c>
      <c r="AX45" s="50">
        <v>0</v>
      </c>
      <c r="AY45" s="50">
        <v>0</v>
      </c>
      <c r="AZ45" s="50">
        <v>0</v>
      </c>
      <c r="BA45" s="50">
        <v>1</v>
      </c>
      <c r="BB45" s="50">
        <v>0</v>
      </c>
      <c r="BC45" s="50">
        <v>0</v>
      </c>
      <c r="BD45" s="50">
        <v>0</v>
      </c>
      <c r="BE45" s="50">
        <v>0</v>
      </c>
      <c r="BF45" s="50">
        <v>0</v>
      </c>
      <c r="BG45" s="41">
        <f t="shared" si="1"/>
        <v>84.090315976037914</v>
      </c>
      <c r="BH45" s="41">
        <f t="shared" si="2"/>
        <v>131.20032121822877</v>
      </c>
      <c r="BI45" s="42">
        <f t="shared" si="3"/>
        <v>-0.44483391338540929</v>
      </c>
      <c r="BJ45" s="42">
        <f t="shared" si="4"/>
        <v>-0.72215595438284452</v>
      </c>
      <c r="BK45" s="42">
        <f t="shared" si="5"/>
        <v>0.74804000699260065</v>
      </c>
      <c r="BL45" s="42">
        <f t="shared" si="6"/>
        <v>0.37073156302478139</v>
      </c>
      <c r="BM45" s="42">
        <f t="shared" si="7"/>
        <v>53.707315630247813</v>
      </c>
      <c r="BN45" s="39" t="str">
        <f t="shared" si="8"/>
        <v>C+</v>
      </c>
    </row>
    <row r="46" spans="1:66" x14ac:dyDescent="0.45">
      <c r="A46" s="38">
        <v>45</v>
      </c>
      <c r="B46" s="28" t="s">
        <v>439</v>
      </c>
      <c r="C46" s="39">
        <f t="shared" si="0"/>
        <v>26</v>
      </c>
      <c r="D46" s="47">
        <v>1</v>
      </c>
      <c r="E46" s="47">
        <v>1</v>
      </c>
      <c r="F46" s="47">
        <v>1</v>
      </c>
      <c r="G46" s="47">
        <v>1</v>
      </c>
      <c r="H46" s="47">
        <v>1</v>
      </c>
      <c r="I46" s="47">
        <v>1</v>
      </c>
      <c r="J46" s="47">
        <v>1</v>
      </c>
      <c r="K46" s="47">
        <v>0</v>
      </c>
      <c r="L46" s="47">
        <v>1</v>
      </c>
      <c r="M46" s="47">
        <v>0</v>
      </c>
      <c r="N46" s="47">
        <v>1</v>
      </c>
      <c r="O46" s="47">
        <v>0</v>
      </c>
      <c r="P46" s="47">
        <v>1</v>
      </c>
      <c r="Q46" s="47">
        <v>1</v>
      </c>
      <c r="R46" s="54">
        <v>0</v>
      </c>
      <c r="S46" s="47">
        <v>1</v>
      </c>
      <c r="T46" s="47">
        <v>1</v>
      </c>
      <c r="U46" s="47">
        <v>1</v>
      </c>
      <c r="V46" s="47">
        <v>1</v>
      </c>
      <c r="W46" s="47">
        <v>1</v>
      </c>
      <c r="X46" s="47">
        <v>0</v>
      </c>
      <c r="Y46" s="47">
        <v>1</v>
      </c>
      <c r="Z46" s="47">
        <v>1</v>
      </c>
      <c r="AA46" s="47">
        <v>0</v>
      </c>
      <c r="AB46" s="47">
        <v>1</v>
      </c>
      <c r="AC46" s="47">
        <v>1</v>
      </c>
      <c r="AD46" s="47">
        <v>0</v>
      </c>
      <c r="AE46" s="47">
        <v>0</v>
      </c>
      <c r="AF46" s="47">
        <v>0</v>
      </c>
      <c r="AG46" s="47">
        <v>1</v>
      </c>
      <c r="AH46" s="47">
        <v>1</v>
      </c>
      <c r="AI46" s="47">
        <v>0</v>
      </c>
      <c r="AJ46" s="47">
        <v>1</v>
      </c>
      <c r="AK46" s="47">
        <v>1</v>
      </c>
      <c r="AL46" s="47">
        <v>1</v>
      </c>
      <c r="AM46" s="50">
        <v>1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41">
        <f t="shared" si="1"/>
        <v>76.362565420940385</v>
      </c>
      <c r="BH46" s="41">
        <f t="shared" si="2"/>
        <v>138.92807177332628</v>
      </c>
      <c r="BI46" s="42">
        <f t="shared" si="3"/>
        <v>-0.59846373524956642</v>
      </c>
      <c r="BJ46" s="42">
        <f t="shared" si="4"/>
        <v>-0.72215595438284452</v>
      </c>
      <c r="BK46" s="42">
        <f t="shared" si="5"/>
        <v>0.74804000699260065</v>
      </c>
      <c r="BL46" s="42">
        <f t="shared" si="6"/>
        <v>0.16535508525883111</v>
      </c>
      <c r="BM46" s="42">
        <f t="shared" si="7"/>
        <v>51.65355085258831</v>
      </c>
      <c r="BN46" s="39" t="str">
        <f t="shared" si="8"/>
        <v>C+</v>
      </c>
    </row>
    <row r="47" spans="1:66" x14ac:dyDescent="0.45">
      <c r="A47" s="38">
        <v>46</v>
      </c>
      <c r="B47" s="33" t="s">
        <v>447</v>
      </c>
      <c r="C47" s="39">
        <f t="shared" si="0"/>
        <v>22</v>
      </c>
      <c r="D47" s="47">
        <v>1</v>
      </c>
      <c r="E47" s="47">
        <v>1</v>
      </c>
      <c r="F47" s="47">
        <v>0</v>
      </c>
      <c r="G47" s="47">
        <v>0</v>
      </c>
      <c r="H47" s="47">
        <v>0</v>
      </c>
      <c r="I47" s="47">
        <v>1</v>
      </c>
      <c r="J47" s="47">
        <v>1</v>
      </c>
      <c r="K47" s="47">
        <v>0</v>
      </c>
      <c r="L47" s="47">
        <v>1</v>
      </c>
      <c r="M47" s="47">
        <v>1</v>
      </c>
      <c r="N47" s="47">
        <v>0</v>
      </c>
      <c r="O47" s="47">
        <v>0</v>
      </c>
      <c r="P47" s="47">
        <v>1</v>
      </c>
      <c r="Q47" s="47">
        <v>1</v>
      </c>
      <c r="R47" s="54">
        <v>0</v>
      </c>
      <c r="S47" s="47">
        <v>0</v>
      </c>
      <c r="T47" s="47">
        <v>1</v>
      </c>
      <c r="U47" s="47">
        <v>1</v>
      </c>
      <c r="V47" s="47">
        <v>1</v>
      </c>
      <c r="W47" s="47">
        <v>1</v>
      </c>
      <c r="X47" s="47">
        <v>0</v>
      </c>
      <c r="Y47" s="47">
        <v>0</v>
      </c>
      <c r="Z47" s="47">
        <v>0</v>
      </c>
      <c r="AA47" s="47">
        <v>1</v>
      </c>
      <c r="AB47" s="47">
        <v>1</v>
      </c>
      <c r="AC47" s="47">
        <v>1</v>
      </c>
      <c r="AD47" s="47">
        <v>0</v>
      </c>
      <c r="AE47" s="47">
        <v>0</v>
      </c>
      <c r="AF47" s="47">
        <v>0</v>
      </c>
      <c r="AG47" s="47">
        <v>1</v>
      </c>
      <c r="AH47" s="47">
        <v>1</v>
      </c>
      <c r="AI47" s="47">
        <v>0</v>
      </c>
      <c r="AJ47" s="47">
        <v>0</v>
      </c>
      <c r="AK47" s="47">
        <v>1</v>
      </c>
      <c r="AL47" s="47">
        <v>0</v>
      </c>
      <c r="AM47" s="50">
        <v>0</v>
      </c>
      <c r="AN47" s="50">
        <v>0</v>
      </c>
      <c r="AO47" s="50">
        <v>1</v>
      </c>
      <c r="AP47" s="50">
        <v>1</v>
      </c>
      <c r="AQ47" s="50">
        <v>0</v>
      </c>
      <c r="AR47" s="50">
        <v>0</v>
      </c>
      <c r="AS47" s="50">
        <v>1</v>
      </c>
      <c r="AT47" s="50">
        <v>0</v>
      </c>
      <c r="AU47" s="50">
        <v>0</v>
      </c>
      <c r="AV47" s="50">
        <v>0</v>
      </c>
      <c r="AW47" s="50">
        <v>0</v>
      </c>
      <c r="AX47" s="50">
        <v>0</v>
      </c>
      <c r="AY47" s="50">
        <v>0</v>
      </c>
      <c r="AZ47" s="50">
        <v>1</v>
      </c>
      <c r="BA47" s="50">
        <v>0</v>
      </c>
      <c r="BB47" s="50">
        <v>0</v>
      </c>
      <c r="BC47" s="50">
        <v>0</v>
      </c>
      <c r="BD47" s="50">
        <v>0</v>
      </c>
      <c r="BE47" s="50">
        <v>0</v>
      </c>
      <c r="BF47" s="50">
        <v>0</v>
      </c>
      <c r="BG47" s="41">
        <f t="shared" si="1"/>
        <v>70.210142969636692</v>
      </c>
      <c r="BH47" s="41">
        <f t="shared" si="2"/>
        <v>145.08049422463</v>
      </c>
      <c r="BI47" s="42">
        <f t="shared" si="3"/>
        <v>-0.7257959336336165</v>
      </c>
      <c r="BJ47" s="42">
        <f t="shared" si="4"/>
        <v>-0.72215595438284452</v>
      </c>
      <c r="BK47" s="42">
        <f t="shared" si="5"/>
        <v>0.74804000699260065</v>
      </c>
      <c r="BL47" s="42">
        <f t="shared" si="6"/>
        <v>-4.8660221602398598E-3</v>
      </c>
      <c r="BM47" s="42">
        <f t="shared" si="7"/>
        <v>49.951339778397603</v>
      </c>
      <c r="BN47" s="39" t="str">
        <f t="shared" si="8"/>
        <v>C</v>
      </c>
    </row>
    <row r="48" spans="1:66" s="30" customFormat="1" x14ac:dyDescent="0.45">
      <c r="A48" s="38">
        <v>47</v>
      </c>
      <c r="B48" s="28" t="s">
        <v>451</v>
      </c>
      <c r="C48" s="39">
        <f t="shared" si="0"/>
        <v>22</v>
      </c>
      <c r="D48" s="47">
        <v>1</v>
      </c>
      <c r="E48" s="47">
        <v>1</v>
      </c>
      <c r="F48" s="47">
        <v>1</v>
      </c>
      <c r="G48" s="47">
        <v>0</v>
      </c>
      <c r="H48" s="47">
        <v>1</v>
      </c>
      <c r="I48" s="47">
        <v>1</v>
      </c>
      <c r="J48" s="47">
        <v>1</v>
      </c>
      <c r="K48" s="47">
        <v>1</v>
      </c>
      <c r="L48" s="47">
        <v>0</v>
      </c>
      <c r="M48" s="47">
        <v>1</v>
      </c>
      <c r="N48" s="47">
        <v>0</v>
      </c>
      <c r="O48" s="47">
        <v>0</v>
      </c>
      <c r="P48" s="47">
        <v>1</v>
      </c>
      <c r="Q48" s="47">
        <v>1</v>
      </c>
      <c r="R48" s="54">
        <v>0</v>
      </c>
      <c r="S48" s="47">
        <v>1</v>
      </c>
      <c r="T48" s="47">
        <v>1</v>
      </c>
      <c r="U48" s="47">
        <v>1</v>
      </c>
      <c r="V48" s="47">
        <v>1</v>
      </c>
      <c r="W48" s="47">
        <v>1</v>
      </c>
      <c r="X48" s="47">
        <v>1</v>
      </c>
      <c r="Y48" s="47">
        <v>0</v>
      </c>
      <c r="Z48" s="47">
        <v>1</v>
      </c>
      <c r="AA48" s="47">
        <v>0</v>
      </c>
      <c r="AB48" s="47">
        <v>1</v>
      </c>
      <c r="AC48" s="47">
        <v>0</v>
      </c>
      <c r="AD48" s="47">
        <v>1</v>
      </c>
      <c r="AE48" s="47">
        <v>1</v>
      </c>
      <c r="AF48" s="47">
        <v>0</v>
      </c>
      <c r="AG48" s="47">
        <v>0</v>
      </c>
      <c r="AH48" s="47">
        <v>1</v>
      </c>
      <c r="AI48" s="47">
        <v>0</v>
      </c>
      <c r="AJ48" s="47">
        <v>0</v>
      </c>
      <c r="AK48" s="47">
        <v>0</v>
      </c>
      <c r="AL48" s="47">
        <v>1</v>
      </c>
      <c r="AM48" s="50">
        <v>0</v>
      </c>
      <c r="AN48" s="50">
        <v>0</v>
      </c>
      <c r="AO48" s="50">
        <v>0</v>
      </c>
      <c r="AP48" s="50">
        <v>0</v>
      </c>
      <c r="AQ48" s="50">
        <v>0</v>
      </c>
      <c r="AR48" s="50">
        <v>0</v>
      </c>
      <c r="AS48" s="50">
        <v>0</v>
      </c>
      <c r="AT48" s="50">
        <v>0</v>
      </c>
      <c r="AU48" s="50">
        <v>0</v>
      </c>
      <c r="AV48" s="50">
        <v>0</v>
      </c>
      <c r="AW48" s="50">
        <v>0</v>
      </c>
      <c r="AX48" s="50">
        <v>0</v>
      </c>
      <c r="AY48" s="50">
        <v>0</v>
      </c>
      <c r="AZ48" s="50">
        <v>0</v>
      </c>
      <c r="BA48" s="50">
        <v>0</v>
      </c>
      <c r="BB48" s="50">
        <v>0</v>
      </c>
      <c r="BC48" s="50">
        <v>0</v>
      </c>
      <c r="BD48" s="50">
        <v>0</v>
      </c>
      <c r="BE48" s="50">
        <v>0</v>
      </c>
      <c r="BF48" s="50">
        <v>0</v>
      </c>
      <c r="BG48" s="41">
        <f t="shared" si="1"/>
        <v>63.965869913075686</v>
      </c>
      <c r="BH48" s="41">
        <f t="shared" si="2"/>
        <v>151.32476728119099</v>
      </c>
      <c r="BI48" s="42">
        <f t="shared" si="3"/>
        <v>-0.86107864539666124</v>
      </c>
      <c r="BJ48" s="42">
        <f t="shared" si="4"/>
        <v>-0.72215595438284452</v>
      </c>
      <c r="BK48" s="42">
        <f t="shared" si="5"/>
        <v>0.74804000699260065</v>
      </c>
      <c r="BL48" s="42">
        <f t="shared" si="6"/>
        <v>-0.18571558969464436</v>
      </c>
      <c r="BM48" s="42">
        <f t="shared" si="7"/>
        <v>48.142844103053555</v>
      </c>
      <c r="BN48" s="39" t="str">
        <f t="shared" si="8"/>
        <v>C</v>
      </c>
    </row>
    <row r="49" spans="1:66" s="30" customFormat="1" x14ac:dyDescent="0.45">
      <c r="A49" s="38">
        <v>48</v>
      </c>
      <c r="B49" s="28" t="s">
        <v>503</v>
      </c>
      <c r="C49" s="39">
        <f t="shared" si="0"/>
        <v>25</v>
      </c>
      <c r="D49" s="47">
        <v>1</v>
      </c>
      <c r="E49" s="47">
        <v>1</v>
      </c>
      <c r="F49" s="47">
        <v>0</v>
      </c>
      <c r="G49" s="47">
        <v>0</v>
      </c>
      <c r="H49" s="47">
        <v>1</v>
      </c>
      <c r="I49" s="47">
        <v>1</v>
      </c>
      <c r="J49" s="47">
        <v>0</v>
      </c>
      <c r="K49" s="47">
        <v>1</v>
      </c>
      <c r="L49" s="47">
        <v>0</v>
      </c>
      <c r="M49" s="47">
        <v>1</v>
      </c>
      <c r="N49" s="47">
        <v>0</v>
      </c>
      <c r="O49" s="47">
        <v>0</v>
      </c>
      <c r="P49" s="47">
        <v>1</v>
      </c>
      <c r="Q49" s="47">
        <v>0</v>
      </c>
      <c r="R49" s="54">
        <v>0</v>
      </c>
      <c r="S49" s="47">
        <v>1</v>
      </c>
      <c r="T49" s="47">
        <v>1</v>
      </c>
      <c r="U49" s="47">
        <v>0</v>
      </c>
      <c r="V49" s="47">
        <v>1</v>
      </c>
      <c r="W49" s="47">
        <v>1</v>
      </c>
      <c r="X49" s="47">
        <v>1</v>
      </c>
      <c r="Y49" s="47">
        <v>1</v>
      </c>
      <c r="Z49" s="47">
        <v>1</v>
      </c>
      <c r="AA49" s="47">
        <v>0</v>
      </c>
      <c r="AB49" s="47">
        <v>1</v>
      </c>
      <c r="AC49" s="47">
        <v>0</v>
      </c>
      <c r="AD49" s="47">
        <v>1</v>
      </c>
      <c r="AE49" s="47">
        <v>1</v>
      </c>
      <c r="AF49" s="47">
        <v>1</v>
      </c>
      <c r="AG49" s="47">
        <v>1</v>
      </c>
      <c r="AH49" s="47">
        <v>0</v>
      </c>
      <c r="AI49" s="47">
        <v>0</v>
      </c>
      <c r="AJ49" s="47">
        <v>1</v>
      </c>
      <c r="AK49" s="47">
        <v>1</v>
      </c>
      <c r="AL49" s="47">
        <v>1</v>
      </c>
      <c r="AM49" s="50">
        <v>1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1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1</v>
      </c>
      <c r="BC49" s="50">
        <v>0</v>
      </c>
      <c r="BD49" s="50">
        <v>0</v>
      </c>
      <c r="BE49" s="50">
        <v>0</v>
      </c>
      <c r="BF49" s="50">
        <v>0</v>
      </c>
      <c r="BG49" s="41">
        <f t="shared" si="1"/>
        <v>77.788957389172666</v>
      </c>
      <c r="BH49" s="41">
        <f t="shared" si="2"/>
        <v>137.501679805094</v>
      </c>
      <c r="BI49" s="42">
        <f t="shared" si="3"/>
        <v>-0.56963664855764162</v>
      </c>
      <c r="BJ49" s="42">
        <f t="shared" si="4"/>
        <v>-0.72215595438284452</v>
      </c>
      <c r="BK49" s="42">
        <f t="shared" si="5"/>
        <v>0.74804000699260065</v>
      </c>
      <c r="BL49" s="42">
        <f t="shared" si="6"/>
        <v>0.20389191005757473</v>
      </c>
      <c r="BM49" s="42">
        <f t="shared" si="7"/>
        <v>52.038919100575747</v>
      </c>
      <c r="BN49" s="39" t="str">
        <f t="shared" si="8"/>
        <v>C+</v>
      </c>
    </row>
    <row r="50" spans="1:66" x14ac:dyDescent="0.45">
      <c r="A50" s="38">
        <v>49</v>
      </c>
      <c r="B50" s="28" t="s">
        <v>458</v>
      </c>
      <c r="C50" s="39">
        <f t="shared" si="0"/>
        <v>19</v>
      </c>
      <c r="D50" s="47">
        <v>1</v>
      </c>
      <c r="E50" s="47">
        <v>1</v>
      </c>
      <c r="F50" s="47">
        <v>0</v>
      </c>
      <c r="G50" s="47">
        <v>0</v>
      </c>
      <c r="H50" s="47">
        <v>0</v>
      </c>
      <c r="I50" s="47">
        <v>1</v>
      </c>
      <c r="J50" s="47">
        <v>1</v>
      </c>
      <c r="K50" s="47">
        <v>1</v>
      </c>
      <c r="L50" s="47">
        <v>1</v>
      </c>
      <c r="M50" s="47">
        <v>1</v>
      </c>
      <c r="N50" s="47">
        <v>0</v>
      </c>
      <c r="O50" s="47">
        <v>1</v>
      </c>
      <c r="P50" s="47">
        <v>0</v>
      </c>
      <c r="Q50" s="47">
        <v>1</v>
      </c>
      <c r="R50" s="54">
        <v>0</v>
      </c>
      <c r="S50" s="47">
        <v>1</v>
      </c>
      <c r="T50" s="47">
        <v>0</v>
      </c>
      <c r="U50" s="47">
        <v>1</v>
      </c>
      <c r="V50" s="47">
        <v>1</v>
      </c>
      <c r="W50" s="47">
        <v>1</v>
      </c>
      <c r="X50" s="47">
        <v>0</v>
      </c>
      <c r="Y50" s="47">
        <v>1</v>
      </c>
      <c r="Z50" s="47">
        <v>0</v>
      </c>
      <c r="AA50" s="47">
        <v>0</v>
      </c>
      <c r="AB50" s="47">
        <v>0</v>
      </c>
      <c r="AC50" s="47">
        <v>1</v>
      </c>
      <c r="AD50" s="47">
        <v>0</v>
      </c>
      <c r="AE50" s="47">
        <v>0</v>
      </c>
      <c r="AF50" s="47">
        <v>1</v>
      </c>
      <c r="AG50" s="47">
        <v>0</v>
      </c>
      <c r="AH50" s="47">
        <v>1</v>
      </c>
      <c r="AI50" s="47">
        <v>0</v>
      </c>
      <c r="AJ50" s="47">
        <v>1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1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1">
        <f t="shared" si="1"/>
        <v>54.92118730792513</v>
      </c>
      <c r="BH50" s="41">
        <f t="shared" si="2"/>
        <v>160.36944988634156</v>
      </c>
      <c r="BI50" s="42">
        <f t="shared" si="3"/>
        <v>-1.0715810157084615</v>
      </c>
      <c r="BJ50" s="42">
        <f t="shared" si="4"/>
        <v>-0.72215595438284452</v>
      </c>
      <c r="BK50" s="42">
        <f t="shared" si="5"/>
        <v>0.74804000699260065</v>
      </c>
      <c r="BL50" s="42">
        <f t="shared" si="6"/>
        <v>-0.46712081982143694</v>
      </c>
      <c r="BM50" s="42">
        <f t="shared" si="7"/>
        <v>45.328791801785627</v>
      </c>
      <c r="BN50" s="39" t="str">
        <f t="shared" si="8"/>
        <v>C</v>
      </c>
    </row>
    <row r="51" spans="1:66" x14ac:dyDescent="0.45">
      <c r="A51" s="38">
        <v>50</v>
      </c>
      <c r="B51" s="33" t="s">
        <v>17</v>
      </c>
      <c r="C51" s="39">
        <f t="shared" si="0"/>
        <v>24</v>
      </c>
      <c r="D51" s="47">
        <v>1</v>
      </c>
      <c r="E51" s="47">
        <v>1</v>
      </c>
      <c r="F51" s="47">
        <v>1</v>
      </c>
      <c r="G51" s="47">
        <v>1</v>
      </c>
      <c r="H51" s="47">
        <v>1</v>
      </c>
      <c r="I51" s="47">
        <v>1</v>
      </c>
      <c r="J51" s="47">
        <v>1</v>
      </c>
      <c r="K51" s="47">
        <v>0</v>
      </c>
      <c r="L51" s="47">
        <v>0</v>
      </c>
      <c r="M51" s="47">
        <v>1</v>
      </c>
      <c r="N51" s="47">
        <v>0</v>
      </c>
      <c r="O51" s="47">
        <v>1</v>
      </c>
      <c r="P51" s="47">
        <v>1</v>
      </c>
      <c r="Q51" s="47">
        <v>1</v>
      </c>
      <c r="R51" s="54">
        <v>1</v>
      </c>
      <c r="S51" s="47">
        <v>1</v>
      </c>
      <c r="T51" s="47">
        <v>0</v>
      </c>
      <c r="U51" s="47">
        <v>0</v>
      </c>
      <c r="V51" s="47">
        <v>1</v>
      </c>
      <c r="W51" s="47">
        <v>1</v>
      </c>
      <c r="X51" s="47">
        <v>0</v>
      </c>
      <c r="Y51" s="47">
        <v>1</v>
      </c>
      <c r="Z51" s="47">
        <v>1</v>
      </c>
      <c r="AA51" s="47">
        <v>0</v>
      </c>
      <c r="AB51" s="47">
        <v>0</v>
      </c>
      <c r="AC51" s="47">
        <v>1</v>
      </c>
      <c r="AD51" s="47">
        <v>0</v>
      </c>
      <c r="AE51" s="47">
        <v>0</v>
      </c>
      <c r="AF51" s="47">
        <v>1</v>
      </c>
      <c r="AG51" s="47">
        <v>0</v>
      </c>
      <c r="AH51" s="47">
        <v>0</v>
      </c>
      <c r="AI51" s="47">
        <v>0</v>
      </c>
      <c r="AJ51" s="47">
        <v>1</v>
      </c>
      <c r="AK51" s="47">
        <v>1</v>
      </c>
      <c r="AL51" s="47">
        <v>0</v>
      </c>
      <c r="AM51" s="50">
        <v>0</v>
      </c>
      <c r="AN51" s="50">
        <v>0</v>
      </c>
      <c r="AO51" s="50">
        <v>0</v>
      </c>
      <c r="AP51" s="50">
        <v>0</v>
      </c>
      <c r="AQ51" s="50">
        <v>1</v>
      </c>
      <c r="AR51" s="50">
        <v>1</v>
      </c>
      <c r="AS51" s="50">
        <v>0</v>
      </c>
      <c r="AT51" s="50">
        <v>0</v>
      </c>
      <c r="AU51" s="50">
        <v>0</v>
      </c>
      <c r="AV51" s="50">
        <v>0</v>
      </c>
      <c r="AW51" s="50">
        <v>0</v>
      </c>
      <c r="AX51" s="50">
        <v>0</v>
      </c>
      <c r="AY51" s="50">
        <v>0</v>
      </c>
      <c r="AZ51" s="50">
        <v>0</v>
      </c>
      <c r="BA51" s="50">
        <v>0</v>
      </c>
      <c r="BB51" s="50">
        <v>0</v>
      </c>
      <c r="BC51" s="50">
        <v>0</v>
      </c>
      <c r="BD51" s="50">
        <v>1</v>
      </c>
      <c r="BE51" s="50">
        <v>0</v>
      </c>
      <c r="BF51" s="50">
        <v>0</v>
      </c>
      <c r="BG51" s="41">
        <f t="shared" si="1"/>
        <v>73.682608677950668</v>
      </c>
      <c r="BH51" s="41">
        <f t="shared" si="2"/>
        <v>141.60802851631601</v>
      </c>
      <c r="BI51" s="42">
        <f t="shared" si="3"/>
        <v>-0.65329608138393402</v>
      </c>
      <c r="BJ51" s="42">
        <f t="shared" si="4"/>
        <v>-0.72215595438284452</v>
      </c>
      <c r="BK51" s="42">
        <f t="shared" si="5"/>
        <v>0.74804000699260065</v>
      </c>
      <c r="BL51" s="42">
        <f t="shared" si="6"/>
        <v>9.2053730221934027E-2</v>
      </c>
      <c r="BM51" s="42">
        <f t="shared" si="7"/>
        <v>50.920537302219337</v>
      </c>
      <c r="BN51" s="39" t="str">
        <f t="shared" si="8"/>
        <v>C+</v>
      </c>
    </row>
    <row r="52" spans="1:66" x14ac:dyDescent="0.45">
      <c r="A52" s="38">
        <v>51</v>
      </c>
      <c r="B52" s="28" t="s">
        <v>444</v>
      </c>
      <c r="C52" s="39">
        <f t="shared" si="0"/>
        <v>29</v>
      </c>
      <c r="D52" s="47">
        <v>1</v>
      </c>
      <c r="E52" s="47">
        <v>1</v>
      </c>
      <c r="F52" s="47">
        <v>1</v>
      </c>
      <c r="G52" s="47">
        <v>0</v>
      </c>
      <c r="H52" s="47">
        <v>1</v>
      </c>
      <c r="I52" s="47">
        <v>1</v>
      </c>
      <c r="J52" s="47">
        <v>0</v>
      </c>
      <c r="K52" s="47">
        <v>0</v>
      </c>
      <c r="L52" s="47">
        <v>0</v>
      </c>
      <c r="M52" s="47">
        <v>1</v>
      </c>
      <c r="N52" s="47">
        <v>0</v>
      </c>
      <c r="O52" s="47">
        <v>1</v>
      </c>
      <c r="P52" s="47">
        <v>1</v>
      </c>
      <c r="Q52" s="47">
        <v>0</v>
      </c>
      <c r="R52" s="54">
        <v>0</v>
      </c>
      <c r="S52" s="47">
        <v>1</v>
      </c>
      <c r="T52" s="47">
        <v>1</v>
      </c>
      <c r="U52" s="47">
        <v>0</v>
      </c>
      <c r="V52" s="47">
        <v>1</v>
      </c>
      <c r="W52" s="47">
        <v>1</v>
      </c>
      <c r="X52" s="47">
        <v>0</v>
      </c>
      <c r="Y52" s="47">
        <v>1</v>
      </c>
      <c r="Z52" s="47">
        <v>0</v>
      </c>
      <c r="AA52" s="47">
        <v>1</v>
      </c>
      <c r="AB52" s="47">
        <v>1</v>
      </c>
      <c r="AC52" s="47">
        <v>1</v>
      </c>
      <c r="AD52" s="47">
        <v>0</v>
      </c>
      <c r="AE52" s="47">
        <v>1</v>
      </c>
      <c r="AF52" s="47">
        <v>1</v>
      </c>
      <c r="AG52" s="47">
        <v>0</v>
      </c>
      <c r="AH52" s="47">
        <v>1</v>
      </c>
      <c r="AI52" s="47">
        <v>0</v>
      </c>
      <c r="AJ52" s="47">
        <v>1</v>
      </c>
      <c r="AK52" s="47">
        <v>1</v>
      </c>
      <c r="AL52" s="47">
        <v>0</v>
      </c>
      <c r="AM52" s="50">
        <v>1</v>
      </c>
      <c r="AN52" s="50">
        <v>0</v>
      </c>
      <c r="AO52" s="50">
        <v>1</v>
      </c>
      <c r="AP52" s="50">
        <v>0</v>
      </c>
      <c r="AQ52" s="50">
        <v>0</v>
      </c>
      <c r="AR52" s="50">
        <v>0</v>
      </c>
      <c r="AS52" s="50">
        <v>0</v>
      </c>
      <c r="AT52" s="50">
        <v>1</v>
      </c>
      <c r="AU52" s="50">
        <v>1</v>
      </c>
      <c r="AV52" s="50">
        <v>1</v>
      </c>
      <c r="AW52" s="50">
        <v>0</v>
      </c>
      <c r="AX52" s="50">
        <v>0</v>
      </c>
      <c r="AY52" s="50">
        <v>0</v>
      </c>
      <c r="AZ52" s="50">
        <v>1</v>
      </c>
      <c r="BA52" s="50">
        <v>1</v>
      </c>
      <c r="BB52" s="50">
        <v>1</v>
      </c>
      <c r="BC52" s="50">
        <v>0</v>
      </c>
      <c r="BD52" s="50">
        <v>0</v>
      </c>
      <c r="BE52" s="50">
        <v>0</v>
      </c>
      <c r="BF52" s="50">
        <v>0</v>
      </c>
      <c r="BG52" s="41">
        <f t="shared" si="1"/>
        <v>95.216316545152992</v>
      </c>
      <c r="BH52" s="41">
        <f t="shared" si="2"/>
        <v>120.07432064911369</v>
      </c>
      <c r="BI52" s="42">
        <f t="shared" si="3"/>
        <v>-0.23195957042121346</v>
      </c>
      <c r="BJ52" s="42">
        <f t="shared" si="4"/>
        <v>-0.72215595438284452</v>
      </c>
      <c r="BK52" s="42">
        <f t="shared" si="5"/>
        <v>0.74804000699260065</v>
      </c>
      <c r="BL52" s="42">
        <f t="shared" si="6"/>
        <v>0.65530770998786958</v>
      </c>
      <c r="BM52" s="42">
        <f t="shared" si="7"/>
        <v>56.553077099878692</v>
      </c>
      <c r="BN52" s="39" t="str">
        <f t="shared" si="8"/>
        <v>B</v>
      </c>
    </row>
    <row r="53" spans="1:66" x14ac:dyDescent="0.45">
      <c r="A53" s="38">
        <v>52</v>
      </c>
      <c r="B53" s="28" t="s">
        <v>445</v>
      </c>
      <c r="C53" s="39">
        <f t="shared" si="0"/>
        <v>24</v>
      </c>
      <c r="D53" s="47">
        <v>1</v>
      </c>
      <c r="E53" s="47">
        <v>1</v>
      </c>
      <c r="F53" s="47">
        <v>1</v>
      </c>
      <c r="G53" s="47">
        <v>1</v>
      </c>
      <c r="H53" s="47">
        <v>0</v>
      </c>
      <c r="I53" s="47">
        <v>1</v>
      </c>
      <c r="J53" s="47">
        <v>1</v>
      </c>
      <c r="K53" s="47">
        <v>0</v>
      </c>
      <c r="L53" s="47">
        <v>0</v>
      </c>
      <c r="M53" s="47">
        <v>1</v>
      </c>
      <c r="N53" s="47">
        <v>0</v>
      </c>
      <c r="O53" s="47">
        <v>0</v>
      </c>
      <c r="P53" s="47">
        <v>1</v>
      </c>
      <c r="Q53" s="47">
        <v>0</v>
      </c>
      <c r="R53" s="54">
        <v>0</v>
      </c>
      <c r="S53" s="47">
        <v>0</v>
      </c>
      <c r="T53" s="47">
        <v>1</v>
      </c>
      <c r="U53" s="47">
        <v>0</v>
      </c>
      <c r="V53" s="47">
        <v>1</v>
      </c>
      <c r="W53" s="47">
        <v>1</v>
      </c>
      <c r="X53" s="47">
        <v>0</v>
      </c>
      <c r="Y53" s="47">
        <v>0</v>
      </c>
      <c r="Z53" s="47">
        <v>1</v>
      </c>
      <c r="AA53" s="47">
        <v>1</v>
      </c>
      <c r="AB53" s="47">
        <v>0</v>
      </c>
      <c r="AC53" s="47">
        <v>1</v>
      </c>
      <c r="AD53" s="47">
        <v>1</v>
      </c>
      <c r="AE53" s="47">
        <v>1</v>
      </c>
      <c r="AF53" s="47">
        <v>1</v>
      </c>
      <c r="AG53" s="47">
        <v>0</v>
      </c>
      <c r="AH53" s="47">
        <v>1</v>
      </c>
      <c r="AI53" s="47">
        <v>0</v>
      </c>
      <c r="AJ53" s="47">
        <v>1</v>
      </c>
      <c r="AK53" s="47">
        <v>0</v>
      </c>
      <c r="AL53" s="47">
        <v>1</v>
      </c>
      <c r="AM53" s="50">
        <v>0</v>
      </c>
      <c r="AN53" s="50">
        <v>0</v>
      </c>
      <c r="AO53" s="50">
        <v>0</v>
      </c>
      <c r="AP53" s="50">
        <v>0</v>
      </c>
      <c r="AQ53" s="50">
        <v>0</v>
      </c>
      <c r="AR53" s="50">
        <v>0</v>
      </c>
      <c r="AS53" s="50">
        <v>0</v>
      </c>
      <c r="AT53" s="50">
        <v>0</v>
      </c>
      <c r="AU53" s="50">
        <v>0</v>
      </c>
      <c r="AV53" s="50">
        <v>0</v>
      </c>
      <c r="AW53" s="50">
        <v>0</v>
      </c>
      <c r="AX53" s="50">
        <v>0</v>
      </c>
      <c r="AY53" s="50">
        <v>1</v>
      </c>
      <c r="AZ53" s="50">
        <v>1</v>
      </c>
      <c r="BA53" s="50">
        <v>1</v>
      </c>
      <c r="BB53" s="50">
        <v>0</v>
      </c>
      <c r="BC53" s="50">
        <v>0</v>
      </c>
      <c r="BD53" s="50">
        <v>1</v>
      </c>
      <c r="BE53" s="50">
        <v>0</v>
      </c>
      <c r="BF53" s="50">
        <v>0</v>
      </c>
      <c r="BG53" s="41">
        <f t="shared" si="1"/>
        <v>78.377589518214208</v>
      </c>
      <c r="BH53" s="41">
        <f t="shared" si="2"/>
        <v>136.91304767605249</v>
      </c>
      <c r="BI53" s="42">
        <f t="shared" si="3"/>
        <v>-0.5578079973200708</v>
      </c>
      <c r="BJ53" s="42">
        <f t="shared" si="4"/>
        <v>-0.72215595438284452</v>
      </c>
      <c r="BK53" s="42">
        <f t="shared" si="5"/>
        <v>0.74804000699260065</v>
      </c>
      <c r="BL53" s="42">
        <f t="shared" si="6"/>
        <v>0.21970476916537351</v>
      </c>
      <c r="BM53" s="42">
        <f t="shared" si="7"/>
        <v>52.197047691653736</v>
      </c>
      <c r="BN53" s="39" t="str">
        <f t="shared" si="8"/>
        <v>C+</v>
      </c>
    </row>
    <row r="54" spans="1:66" x14ac:dyDescent="0.45">
      <c r="A54" s="38">
        <v>53</v>
      </c>
      <c r="B54" s="28" t="s">
        <v>36</v>
      </c>
      <c r="C54" s="39">
        <f t="shared" si="0"/>
        <v>18</v>
      </c>
      <c r="D54" s="47">
        <v>0</v>
      </c>
      <c r="E54" s="47">
        <v>1</v>
      </c>
      <c r="F54" s="47">
        <v>0</v>
      </c>
      <c r="G54" s="47">
        <v>0</v>
      </c>
      <c r="H54" s="47">
        <v>1</v>
      </c>
      <c r="I54" s="47">
        <v>1</v>
      </c>
      <c r="J54" s="47">
        <v>1</v>
      </c>
      <c r="K54" s="47">
        <v>1</v>
      </c>
      <c r="L54" s="47">
        <v>1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54">
        <v>0</v>
      </c>
      <c r="S54" s="47">
        <v>1</v>
      </c>
      <c r="T54" s="47">
        <v>1</v>
      </c>
      <c r="U54" s="47">
        <v>1</v>
      </c>
      <c r="V54" s="47">
        <v>1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1</v>
      </c>
      <c r="AC54" s="47">
        <v>1</v>
      </c>
      <c r="AD54" s="47">
        <v>0</v>
      </c>
      <c r="AE54" s="47">
        <v>1</v>
      </c>
      <c r="AF54" s="47">
        <v>0</v>
      </c>
      <c r="AG54" s="47">
        <v>1</v>
      </c>
      <c r="AH54" s="47">
        <v>1</v>
      </c>
      <c r="AI54" s="47">
        <v>0</v>
      </c>
      <c r="AJ54" s="47">
        <v>1</v>
      </c>
      <c r="AK54" s="47">
        <v>1</v>
      </c>
      <c r="AL54" s="47">
        <v>0</v>
      </c>
      <c r="AM54" s="50">
        <v>1</v>
      </c>
      <c r="AN54" s="50">
        <v>0</v>
      </c>
      <c r="AO54" s="50">
        <v>0</v>
      </c>
      <c r="AP54" s="50">
        <v>0</v>
      </c>
      <c r="AQ54" s="50">
        <v>0</v>
      </c>
      <c r="AR54" s="50">
        <v>0</v>
      </c>
      <c r="AS54" s="50">
        <v>0</v>
      </c>
      <c r="AT54" s="50">
        <v>0</v>
      </c>
      <c r="AU54" s="50">
        <v>0</v>
      </c>
      <c r="AV54" s="50">
        <v>0</v>
      </c>
      <c r="AW54" s="50">
        <v>0</v>
      </c>
      <c r="AX54" s="50">
        <v>0</v>
      </c>
      <c r="AY54" s="50">
        <v>0</v>
      </c>
      <c r="AZ54" s="50">
        <v>0</v>
      </c>
      <c r="BA54" s="50">
        <v>0</v>
      </c>
      <c r="BB54" s="50">
        <v>0</v>
      </c>
      <c r="BC54" s="50">
        <v>0</v>
      </c>
      <c r="BD54" s="50">
        <v>0</v>
      </c>
      <c r="BE54" s="50">
        <v>0</v>
      </c>
      <c r="BF54" s="50">
        <v>0</v>
      </c>
      <c r="BG54" s="41">
        <f t="shared" si="1"/>
        <v>51.737466976999315</v>
      </c>
      <c r="BH54" s="41">
        <f t="shared" si="2"/>
        <v>163.55317021726736</v>
      </c>
      <c r="BI54" s="42">
        <f t="shared" si="3"/>
        <v>-1.1509559187819693</v>
      </c>
      <c r="BJ54" s="42">
        <f t="shared" si="4"/>
        <v>-0.72215595438284452</v>
      </c>
      <c r="BK54" s="42">
        <f t="shared" si="5"/>
        <v>0.74804000699260065</v>
      </c>
      <c r="BL54" s="42">
        <f t="shared" si="6"/>
        <v>-0.57323132505046137</v>
      </c>
      <c r="BM54" s="42">
        <f t="shared" si="7"/>
        <v>44.267686749495383</v>
      </c>
      <c r="BN54" s="39" t="str">
        <f t="shared" si="8"/>
        <v>NC</v>
      </c>
    </row>
    <row r="55" spans="1:66" x14ac:dyDescent="0.45">
      <c r="A55" s="38">
        <v>54</v>
      </c>
      <c r="B55" s="33" t="s">
        <v>478</v>
      </c>
      <c r="C55" s="39">
        <f t="shared" si="0"/>
        <v>14</v>
      </c>
      <c r="D55" s="47">
        <v>0</v>
      </c>
      <c r="E55" s="47">
        <v>0</v>
      </c>
      <c r="F55" s="47">
        <v>0</v>
      </c>
      <c r="G55" s="47">
        <v>1</v>
      </c>
      <c r="H55" s="47">
        <v>1</v>
      </c>
      <c r="I55" s="47">
        <v>1</v>
      </c>
      <c r="J55" s="47">
        <v>1</v>
      </c>
      <c r="K55" s="47">
        <v>1</v>
      </c>
      <c r="L55" s="47">
        <v>0</v>
      </c>
      <c r="M55" s="47">
        <v>0</v>
      </c>
      <c r="N55" s="47">
        <v>0</v>
      </c>
      <c r="O55" s="47">
        <v>0</v>
      </c>
      <c r="P55" s="47">
        <v>1</v>
      </c>
      <c r="Q55" s="47">
        <v>0</v>
      </c>
      <c r="R55" s="54">
        <v>0</v>
      </c>
      <c r="S55" s="47">
        <v>1</v>
      </c>
      <c r="T55" s="47">
        <v>0</v>
      </c>
      <c r="U55" s="47">
        <v>0</v>
      </c>
      <c r="V55" s="47">
        <v>0</v>
      </c>
      <c r="W55" s="47">
        <v>1</v>
      </c>
      <c r="X55" s="47">
        <v>0</v>
      </c>
      <c r="Y55" s="47">
        <v>0</v>
      </c>
      <c r="Z55" s="47">
        <v>1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1</v>
      </c>
      <c r="AH55" s="47">
        <v>1</v>
      </c>
      <c r="AI55" s="47">
        <v>0</v>
      </c>
      <c r="AJ55" s="47">
        <v>0</v>
      </c>
      <c r="AK55" s="47">
        <v>0</v>
      </c>
      <c r="AL55" s="47">
        <v>1</v>
      </c>
      <c r="AM55" s="47">
        <v>0</v>
      </c>
      <c r="AN55" s="47">
        <v>0</v>
      </c>
      <c r="AO55" s="47">
        <v>0</v>
      </c>
      <c r="AP55" s="47">
        <v>1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1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1">
        <f t="shared" si="1"/>
        <v>46.235500304581954</v>
      </c>
      <c r="BH55" s="41">
        <f t="shared" si="2"/>
        <v>169.05513688968472</v>
      </c>
      <c r="BI55" s="42">
        <f t="shared" si="3"/>
        <v>-1.2964770076220908</v>
      </c>
      <c r="BJ55" s="42">
        <f t="shared" si="4"/>
        <v>-0.72215595438284452</v>
      </c>
      <c r="BK55" s="42">
        <f t="shared" si="5"/>
        <v>0.74804000699260065</v>
      </c>
      <c r="BL55" s="42">
        <f t="shared" si="6"/>
        <v>-0.76776783042424535</v>
      </c>
      <c r="BM55" s="42">
        <f t="shared" si="7"/>
        <v>42.322321695757545</v>
      </c>
      <c r="BN55" s="39" t="str">
        <f t="shared" si="8"/>
        <v>NC</v>
      </c>
    </row>
    <row r="56" spans="1:66" x14ac:dyDescent="0.45">
      <c r="A56" s="38">
        <v>55</v>
      </c>
      <c r="B56" s="28" t="s">
        <v>467</v>
      </c>
      <c r="C56" s="39">
        <f t="shared" si="0"/>
        <v>17</v>
      </c>
      <c r="D56" s="47">
        <v>1</v>
      </c>
      <c r="E56" s="47">
        <v>1</v>
      </c>
      <c r="F56" s="47">
        <v>0</v>
      </c>
      <c r="G56" s="47">
        <v>0</v>
      </c>
      <c r="H56" s="47">
        <v>0</v>
      </c>
      <c r="I56" s="47">
        <v>1</v>
      </c>
      <c r="J56" s="47">
        <v>1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1</v>
      </c>
      <c r="Q56" s="47">
        <v>1</v>
      </c>
      <c r="R56" s="54">
        <v>0</v>
      </c>
      <c r="S56" s="47">
        <v>0</v>
      </c>
      <c r="T56" s="47">
        <v>1</v>
      </c>
      <c r="U56" s="47">
        <v>0</v>
      </c>
      <c r="V56" s="47">
        <v>0</v>
      </c>
      <c r="W56" s="47">
        <v>1</v>
      </c>
      <c r="X56" s="47">
        <v>0</v>
      </c>
      <c r="Y56" s="47">
        <v>1</v>
      </c>
      <c r="Z56" s="47">
        <v>0</v>
      </c>
      <c r="AA56" s="47">
        <v>0</v>
      </c>
      <c r="AB56" s="47">
        <v>1</v>
      </c>
      <c r="AC56" s="47">
        <v>1</v>
      </c>
      <c r="AD56" s="47">
        <v>0</v>
      </c>
      <c r="AE56" s="47">
        <v>1</v>
      </c>
      <c r="AF56" s="47">
        <v>0</v>
      </c>
      <c r="AG56" s="47">
        <v>0</v>
      </c>
      <c r="AH56" s="47">
        <v>1</v>
      </c>
      <c r="AI56" s="47">
        <v>0</v>
      </c>
      <c r="AJ56" s="47">
        <v>1</v>
      </c>
      <c r="AK56" s="47">
        <v>1</v>
      </c>
      <c r="AL56" s="47">
        <v>0</v>
      </c>
      <c r="AM56" s="50">
        <v>1</v>
      </c>
      <c r="AN56" s="50">
        <v>0</v>
      </c>
      <c r="AO56" s="50">
        <v>0</v>
      </c>
      <c r="AP56" s="50">
        <v>0</v>
      </c>
      <c r="AQ56" s="50">
        <v>1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41">
        <f t="shared" si="1"/>
        <v>46.680674007271769</v>
      </c>
      <c r="BH56" s="41">
        <f t="shared" si="2"/>
        <v>168.60996318699492</v>
      </c>
      <c r="BI56" s="42">
        <f t="shared" si="3"/>
        <v>-1.2842578912559037</v>
      </c>
      <c r="BJ56" s="42">
        <f t="shared" si="4"/>
        <v>-0.72215595438284452</v>
      </c>
      <c r="BK56" s="42">
        <f t="shared" si="5"/>
        <v>0.74804000699260065</v>
      </c>
      <c r="BL56" s="42">
        <f t="shared" si="6"/>
        <v>-0.7514329870308919</v>
      </c>
      <c r="BM56" s="42">
        <f t="shared" si="7"/>
        <v>42.48567012969108</v>
      </c>
      <c r="BN56" s="39" t="str">
        <f t="shared" si="8"/>
        <v>NC</v>
      </c>
    </row>
    <row r="57" spans="1:66" x14ac:dyDescent="0.45">
      <c r="A57" s="38">
        <v>56</v>
      </c>
      <c r="B57" s="28" t="s">
        <v>465</v>
      </c>
      <c r="C57" s="39">
        <f t="shared" si="0"/>
        <v>13</v>
      </c>
      <c r="D57" s="47">
        <v>0</v>
      </c>
      <c r="E57" s="47">
        <v>1</v>
      </c>
      <c r="F57" s="47">
        <v>1</v>
      </c>
      <c r="G57" s="47">
        <v>0</v>
      </c>
      <c r="H57" s="47">
        <v>1</v>
      </c>
      <c r="I57" s="47">
        <v>0</v>
      </c>
      <c r="J57" s="47">
        <v>0</v>
      </c>
      <c r="K57" s="47">
        <v>1</v>
      </c>
      <c r="L57" s="47">
        <v>0</v>
      </c>
      <c r="M57" s="47">
        <v>1</v>
      </c>
      <c r="N57" s="47">
        <v>0</v>
      </c>
      <c r="O57" s="47">
        <v>0</v>
      </c>
      <c r="P57" s="47">
        <v>1</v>
      </c>
      <c r="Q57" s="47">
        <v>0</v>
      </c>
      <c r="R57" s="54">
        <v>0</v>
      </c>
      <c r="S57" s="47">
        <v>0</v>
      </c>
      <c r="T57" s="47">
        <v>0</v>
      </c>
      <c r="U57" s="47">
        <v>1</v>
      </c>
      <c r="V57" s="47">
        <v>1</v>
      </c>
      <c r="W57" s="47">
        <v>0</v>
      </c>
      <c r="X57" s="47">
        <v>1</v>
      </c>
      <c r="Y57" s="47">
        <v>1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1</v>
      </c>
      <c r="AH57" s="47">
        <v>1</v>
      </c>
      <c r="AI57" s="47">
        <v>0</v>
      </c>
      <c r="AJ57" s="47">
        <v>1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1">
        <f t="shared" si="1"/>
        <v>36.86175379811008</v>
      </c>
      <c r="BH57" s="41">
        <f t="shared" si="2"/>
        <v>178.42888339615661</v>
      </c>
      <c r="BI57" s="42">
        <f t="shared" si="3"/>
        <v>-1.5770155783948783</v>
      </c>
      <c r="BJ57" s="42">
        <f t="shared" si="4"/>
        <v>-0.72215595438284452</v>
      </c>
      <c r="BK57" s="42">
        <f t="shared" si="5"/>
        <v>0.74804000699260065</v>
      </c>
      <c r="BL57" s="42">
        <f t="shared" si="6"/>
        <v>-1.1427993369617859</v>
      </c>
      <c r="BM57" s="42">
        <f t="shared" si="7"/>
        <v>38.572006630382141</v>
      </c>
      <c r="BN57" s="39" t="str">
        <f t="shared" si="8"/>
        <v>NC</v>
      </c>
    </row>
    <row r="58" spans="1:66" x14ac:dyDescent="0.45">
      <c r="A58" s="38">
        <v>57</v>
      </c>
      <c r="B58" s="28" t="s">
        <v>15</v>
      </c>
      <c r="C58" s="39">
        <f t="shared" si="0"/>
        <v>48</v>
      </c>
      <c r="D58" s="47">
        <v>1</v>
      </c>
      <c r="E58" s="47">
        <v>1</v>
      </c>
      <c r="F58" s="47">
        <v>1</v>
      </c>
      <c r="G58" s="47">
        <v>1</v>
      </c>
      <c r="H58" s="47">
        <v>1</v>
      </c>
      <c r="I58" s="47">
        <v>0</v>
      </c>
      <c r="J58" s="47">
        <v>1</v>
      </c>
      <c r="K58" s="47">
        <v>1</v>
      </c>
      <c r="L58" s="47">
        <v>1</v>
      </c>
      <c r="M58" s="47">
        <v>1</v>
      </c>
      <c r="N58" s="47">
        <v>1</v>
      </c>
      <c r="O58" s="47">
        <v>1</v>
      </c>
      <c r="P58" s="47">
        <v>1</v>
      </c>
      <c r="Q58" s="47">
        <v>1</v>
      </c>
      <c r="R58" s="54">
        <v>1</v>
      </c>
      <c r="S58" s="47">
        <v>0</v>
      </c>
      <c r="T58" s="47">
        <v>1</v>
      </c>
      <c r="U58" s="47">
        <v>1</v>
      </c>
      <c r="V58" s="47">
        <v>1</v>
      </c>
      <c r="W58" s="47">
        <v>1</v>
      </c>
      <c r="X58" s="47">
        <v>1</v>
      </c>
      <c r="Y58" s="47">
        <v>1</v>
      </c>
      <c r="Z58" s="47">
        <v>1</v>
      </c>
      <c r="AA58" s="47">
        <v>1</v>
      </c>
      <c r="AB58" s="47">
        <v>1</v>
      </c>
      <c r="AC58" s="47">
        <v>1</v>
      </c>
      <c r="AD58" s="47">
        <v>1</v>
      </c>
      <c r="AE58" s="47">
        <v>1</v>
      </c>
      <c r="AF58" s="47">
        <v>1</v>
      </c>
      <c r="AG58" s="47">
        <v>1</v>
      </c>
      <c r="AH58" s="47">
        <v>1</v>
      </c>
      <c r="AI58" s="47">
        <v>1</v>
      </c>
      <c r="AJ58" s="47">
        <v>1</v>
      </c>
      <c r="AK58" s="47">
        <v>1</v>
      </c>
      <c r="AL58" s="47">
        <v>1</v>
      </c>
      <c r="AM58" s="50">
        <v>1</v>
      </c>
      <c r="AN58" s="50">
        <v>1</v>
      </c>
      <c r="AO58" s="50">
        <v>1</v>
      </c>
      <c r="AP58" s="50">
        <v>1</v>
      </c>
      <c r="AQ58" s="50">
        <v>1</v>
      </c>
      <c r="AR58" s="50">
        <v>0</v>
      </c>
      <c r="AS58" s="50">
        <v>0</v>
      </c>
      <c r="AT58" s="50">
        <v>1</v>
      </c>
      <c r="AU58" s="50">
        <v>1</v>
      </c>
      <c r="AV58" s="50">
        <v>1</v>
      </c>
      <c r="AW58" s="50">
        <v>1</v>
      </c>
      <c r="AX58" s="50">
        <v>1</v>
      </c>
      <c r="AY58" s="50">
        <v>1</v>
      </c>
      <c r="AZ58" s="50">
        <v>1</v>
      </c>
      <c r="BA58" s="50">
        <v>1</v>
      </c>
      <c r="BB58" s="50">
        <v>1</v>
      </c>
      <c r="BC58" s="50">
        <v>0</v>
      </c>
      <c r="BD58" s="50">
        <v>1</v>
      </c>
      <c r="BE58" s="50">
        <v>0</v>
      </c>
      <c r="BF58" s="50">
        <v>0</v>
      </c>
      <c r="BG58" s="41">
        <f t="shared" si="1"/>
        <v>176.2463388150538</v>
      </c>
      <c r="BH58" s="41">
        <f t="shared" si="2"/>
        <v>39.044298379212876</v>
      </c>
      <c r="BI58" s="42">
        <f t="shared" si="3"/>
        <v>1.5071858113853982</v>
      </c>
      <c r="BJ58" s="42">
        <f t="shared" si="4"/>
        <v>-0.72215595438284452</v>
      </c>
      <c r="BK58" s="42">
        <f t="shared" si="5"/>
        <v>0.74804000699260065</v>
      </c>
      <c r="BL58" s="42">
        <f t="shared" si="6"/>
        <v>2.9802440309723899</v>
      </c>
      <c r="BM58" s="42">
        <f t="shared" si="7"/>
        <v>79.802440309723892</v>
      </c>
      <c r="BN58" s="39" t="str">
        <f t="shared" si="8"/>
        <v>A+</v>
      </c>
    </row>
    <row r="59" spans="1:66" x14ac:dyDescent="0.45">
      <c r="A59" s="38">
        <v>58</v>
      </c>
      <c r="B59" s="33" t="s">
        <v>493</v>
      </c>
      <c r="C59" s="39">
        <f t="shared" si="0"/>
        <v>14</v>
      </c>
      <c r="D59" s="47">
        <v>0</v>
      </c>
      <c r="E59" s="47">
        <v>0</v>
      </c>
      <c r="F59" s="47">
        <v>1</v>
      </c>
      <c r="G59" s="47">
        <v>0</v>
      </c>
      <c r="H59" s="47">
        <v>1</v>
      </c>
      <c r="I59" s="47">
        <v>0</v>
      </c>
      <c r="J59" s="47">
        <v>1</v>
      </c>
      <c r="K59" s="47">
        <v>0</v>
      </c>
      <c r="L59" s="47">
        <v>1</v>
      </c>
      <c r="M59" s="47">
        <v>1</v>
      </c>
      <c r="N59" s="47">
        <v>1</v>
      </c>
      <c r="O59" s="47">
        <v>0</v>
      </c>
      <c r="P59" s="47">
        <v>1</v>
      </c>
      <c r="Q59" s="47">
        <v>1</v>
      </c>
      <c r="R59" s="54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1</v>
      </c>
      <c r="Z59" s="47">
        <v>0</v>
      </c>
      <c r="AA59" s="47">
        <v>0</v>
      </c>
      <c r="AB59" s="47">
        <v>1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1</v>
      </c>
      <c r="AI59" s="47">
        <v>1</v>
      </c>
      <c r="AJ59" s="47">
        <v>0</v>
      </c>
      <c r="AK59" s="47">
        <v>1</v>
      </c>
      <c r="AL59" s="47">
        <v>0</v>
      </c>
      <c r="AM59" s="50">
        <v>1</v>
      </c>
      <c r="AN59" s="50">
        <v>0</v>
      </c>
      <c r="AO59" s="50">
        <v>0</v>
      </c>
      <c r="AP59" s="5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0</v>
      </c>
      <c r="AW59" s="50">
        <v>0</v>
      </c>
      <c r="AX59" s="50">
        <v>0</v>
      </c>
      <c r="AY59" s="50">
        <v>0</v>
      </c>
      <c r="AZ59" s="50">
        <v>0</v>
      </c>
      <c r="BA59" s="50">
        <v>0</v>
      </c>
      <c r="BB59" s="50">
        <v>0</v>
      </c>
      <c r="BC59" s="50">
        <v>0</v>
      </c>
      <c r="BD59" s="50">
        <v>0</v>
      </c>
      <c r="BE59" s="50">
        <v>0</v>
      </c>
      <c r="BF59" s="50">
        <v>0</v>
      </c>
      <c r="BG59" s="41">
        <f t="shared" si="1"/>
        <v>43.25847073127629</v>
      </c>
      <c r="BH59" s="41">
        <f t="shared" si="2"/>
        <v>172.0321664629904</v>
      </c>
      <c r="BI59" s="42">
        <f t="shared" si="3"/>
        <v>-1.3804884043889651</v>
      </c>
      <c r="BJ59" s="42">
        <f t="shared" si="4"/>
        <v>-0.72215595438284452</v>
      </c>
      <c r="BK59" s="42">
        <f t="shared" si="5"/>
        <v>0.74804000699260065</v>
      </c>
      <c r="BL59" s="42">
        <f t="shared" si="6"/>
        <v>-0.88007652512178081</v>
      </c>
      <c r="BM59" s="42">
        <f t="shared" si="7"/>
        <v>41.199234748782189</v>
      </c>
      <c r="BN59" s="39" t="str">
        <f t="shared" si="8"/>
        <v>NC</v>
      </c>
    </row>
    <row r="60" spans="1:66" x14ac:dyDescent="0.45">
      <c r="A60" s="38">
        <v>59</v>
      </c>
      <c r="B60" s="28" t="s">
        <v>460</v>
      </c>
      <c r="C60" s="39">
        <f t="shared" si="0"/>
        <v>15</v>
      </c>
      <c r="D60" s="47">
        <v>1</v>
      </c>
      <c r="E60" s="47">
        <v>1</v>
      </c>
      <c r="F60" s="47">
        <v>1</v>
      </c>
      <c r="G60" s="47">
        <v>1</v>
      </c>
      <c r="H60" s="47">
        <v>1</v>
      </c>
      <c r="I60" s="47">
        <v>1</v>
      </c>
      <c r="J60" s="47">
        <v>1</v>
      </c>
      <c r="K60" s="47">
        <v>1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54">
        <v>0</v>
      </c>
      <c r="S60" s="47">
        <v>1</v>
      </c>
      <c r="T60" s="47">
        <v>1</v>
      </c>
      <c r="U60" s="47">
        <v>0</v>
      </c>
      <c r="V60" s="47">
        <v>1</v>
      </c>
      <c r="W60" s="47">
        <v>0</v>
      </c>
      <c r="X60" s="47">
        <v>0</v>
      </c>
      <c r="Y60" s="47">
        <v>1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1</v>
      </c>
      <c r="AF60" s="47">
        <v>0</v>
      </c>
      <c r="AG60" s="47">
        <v>0</v>
      </c>
      <c r="AH60" s="47">
        <v>0</v>
      </c>
      <c r="AI60" s="47">
        <v>0</v>
      </c>
      <c r="AJ60" s="47">
        <v>1</v>
      </c>
      <c r="AK60" s="47">
        <v>0</v>
      </c>
      <c r="AL60" s="47">
        <v>1</v>
      </c>
      <c r="AM60" s="50">
        <v>0</v>
      </c>
      <c r="AN60" s="50">
        <v>0</v>
      </c>
      <c r="AO60" s="50">
        <v>0</v>
      </c>
      <c r="AP60" s="50">
        <v>0</v>
      </c>
      <c r="AQ60" s="50">
        <v>0</v>
      </c>
      <c r="AR60" s="50">
        <v>0</v>
      </c>
      <c r="AS60" s="50">
        <v>0</v>
      </c>
      <c r="AT60" s="50">
        <v>0</v>
      </c>
      <c r="AU60" s="50">
        <v>0</v>
      </c>
      <c r="AV60" s="50">
        <v>0</v>
      </c>
      <c r="AW60" s="50">
        <v>0</v>
      </c>
      <c r="AX60" s="50">
        <v>0</v>
      </c>
      <c r="AY60" s="50">
        <v>0</v>
      </c>
      <c r="AZ60" s="50">
        <v>0</v>
      </c>
      <c r="BA60" s="50">
        <v>0</v>
      </c>
      <c r="BB60" s="50">
        <v>0</v>
      </c>
      <c r="BC60" s="50">
        <v>0</v>
      </c>
      <c r="BD60" s="50">
        <v>0</v>
      </c>
      <c r="BE60" s="50">
        <v>0</v>
      </c>
      <c r="BF60" s="50">
        <v>0</v>
      </c>
      <c r="BG60" s="41">
        <f t="shared" si="1"/>
        <v>41.524930760426031</v>
      </c>
      <c r="BH60" s="41">
        <f t="shared" si="2"/>
        <v>173.76570643384065</v>
      </c>
      <c r="BI60" s="42">
        <f t="shared" si="3"/>
        <v>-1.4314138890219226</v>
      </c>
      <c r="BJ60" s="42">
        <f t="shared" si="4"/>
        <v>-0.72215595438284452</v>
      </c>
      <c r="BK60" s="42">
        <f t="shared" si="5"/>
        <v>0.74804000699260065</v>
      </c>
      <c r="BL60" s="42">
        <f t="shared" si="6"/>
        <v>-0.94815508262794534</v>
      </c>
      <c r="BM60" s="42">
        <f t="shared" si="7"/>
        <v>40.518449173720548</v>
      </c>
      <c r="BN60" s="39" t="str">
        <f t="shared" si="8"/>
        <v>NC</v>
      </c>
    </row>
    <row r="61" spans="1:66" x14ac:dyDescent="0.45">
      <c r="A61" s="38">
        <v>60</v>
      </c>
      <c r="B61" s="28" t="s">
        <v>34</v>
      </c>
      <c r="C61" s="39">
        <f t="shared" si="0"/>
        <v>34</v>
      </c>
      <c r="D61" s="47">
        <v>1</v>
      </c>
      <c r="E61" s="47">
        <v>1</v>
      </c>
      <c r="F61" s="47">
        <v>1</v>
      </c>
      <c r="G61" s="47">
        <v>1</v>
      </c>
      <c r="H61" s="47">
        <v>0</v>
      </c>
      <c r="I61" s="47">
        <v>0</v>
      </c>
      <c r="J61" s="47">
        <v>1</v>
      </c>
      <c r="K61" s="47">
        <v>1</v>
      </c>
      <c r="L61" s="47">
        <v>0</v>
      </c>
      <c r="M61" s="47">
        <v>1</v>
      </c>
      <c r="N61" s="47">
        <v>0</v>
      </c>
      <c r="O61" s="47">
        <v>1</v>
      </c>
      <c r="P61" s="47">
        <v>1</v>
      </c>
      <c r="Q61" s="47">
        <v>0</v>
      </c>
      <c r="R61" s="54">
        <v>1</v>
      </c>
      <c r="S61" s="47">
        <v>1</v>
      </c>
      <c r="T61" s="47">
        <v>1</v>
      </c>
      <c r="U61" s="47">
        <v>1</v>
      </c>
      <c r="V61" s="47">
        <v>1</v>
      </c>
      <c r="W61" s="47">
        <v>1</v>
      </c>
      <c r="X61" s="47">
        <v>1</v>
      </c>
      <c r="Y61" s="47">
        <v>1</v>
      </c>
      <c r="Z61" s="47">
        <v>1</v>
      </c>
      <c r="AA61" s="47">
        <v>0</v>
      </c>
      <c r="AB61" s="47">
        <v>1</v>
      </c>
      <c r="AC61" s="47">
        <v>1</v>
      </c>
      <c r="AD61" s="47">
        <v>0</v>
      </c>
      <c r="AE61" s="47">
        <v>1</v>
      </c>
      <c r="AF61" s="47">
        <v>1</v>
      </c>
      <c r="AG61" s="47">
        <v>1</v>
      </c>
      <c r="AH61" s="47">
        <v>0</v>
      </c>
      <c r="AI61" s="47">
        <v>0</v>
      </c>
      <c r="AJ61" s="47">
        <v>1</v>
      </c>
      <c r="AK61" s="47">
        <v>0</v>
      </c>
      <c r="AL61" s="47">
        <v>0</v>
      </c>
      <c r="AM61" s="50">
        <v>1</v>
      </c>
      <c r="AN61" s="50">
        <v>0</v>
      </c>
      <c r="AO61" s="50">
        <v>1</v>
      </c>
      <c r="AP61" s="50">
        <v>1</v>
      </c>
      <c r="AQ61" s="50">
        <v>1</v>
      </c>
      <c r="AR61" s="50">
        <v>1</v>
      </c>
      <c r="AS61" s="50">
        <v>1</v>
      </c>
      <c r="AT61" s="50">
        <v>0</v>
      </c>
      <c r="AU61" s="50">
        <v>0</v>
      </c>
      <c r="AV61" s="50">
        <v>0</v>
      </c>
      <c r="AW61" s="50">
        <v>1</v>
      </c>
      <c r="AX61" s="50">
        <v>1</v>
      </c>
      <c r="AY61" s="50">
        <v>0</v>
      </c>
      <c r="AZ61" s="50">
        <v>0</v>
      </c>
      <c r="BA61" s="50">
        <v>1</v>
      </c>
      <c r="BB61" s="50">
        <v>1</v>
      </c>
      <c r="BC61" s="50">
        <v>0</v>
      </c>
      <c r="BD61" s="50">
        <v>0</v>
      </c>
      <c r="BE61" s="50">
        <v>0</v>
      </c>
      <c r="BF61" s="50">
        <v>0</v>
      </c>
      <c r="BG61" s="41">
        <f t="shared" si="1"/>
        <v>118.06056116020257</v>
      </c>
      <c r="BH61" s="41">
        <f t="shared" si="2"/>
        <v>97.230076034064112</v>
      </c>
      <c r="BI61" s="42">
        <f t="shared" si="3"/>
        <v>0.19411763515595454</v>
      </c>
      <c r="BJ61" s="42">
        <f t="shared" si="4"/>
        <v>-0.72215595438284452</v>
      </c>
      <c r="BK61" s="42">
        <f t="shared" si="5"/>
        <v>0.74804000699260065</v>
      </c>
      <c r="BL61" s="42">
        <f t="shared" si="6"/>
        <v>1.2248991778161171</v>
      </c>
      <c r="BM61" s="42">
        <f t="shared" si="7"/>
        <v>62.248991778161169</v>
      </c>
      <c r="BN61" s="39" t="str">
        <f t="shared" si="8"/>
        <v>B+</v>
      </c>
    </row>
    <row r="62" spans="1:66" x14ac:dyDescent="0.45">
      <c r="A62" s="38">
        <v>61</v>
      </c>
      <c r="B62" s="33" t="s">
        <v>492</v>
      </c>
      <c r="C62" s="39">
        <f t="shared" si="0"/>
        <v>34</v>
      </c>
      <c r="D62" s="47">
        <v>1</v>
      </c>
      <c r="E62" s="47">
        <v>1</v>
      </c>
      <c r="F62" s="47">
        <v>1</v>
      </c>
      <c r="G62" s="47">
        <v>1</v>
      </c>
      <c r="H62" s="47">
        <v>1</v>
      </c>
      <c r="I62" s="47">
        <v>0</v>
      </c>
      <c r="J62" s="47">
        <v>1</v>
      </c>
      <c r="K62" s="47">
        <v>0</v>
      </c>
      <c r="L62" s="47">
        <v>1</v>
      </c>
      <c r="M62" s="47">
        <v>1</v>
      </c>
      <c r="N62" s="47">
        <v>0</v>
      </c>
      <c r="O62" s="47">
        <v>1</v>
      </c>
      <c r="P62" s="47">
        <v>0</v>
      </c>
      <c r="Q62" s="47">
        <v>0</v>
      </c>
      <c r="R62" s="54">
        <v>0</v>
      </c>
      <c r="S62" s="47">
        <v>0</v>
      </c>
      <c r="T62" s="47">
        <v>1</v>
      </c>
      <c r="U62" s="47">
        <v>0</v>
      </c>
      <c r="V62" s="47">
        <v>1</v>
      </c>
      <c r="W62" s="47">
        <v>1</v>
      </c>
      <c r="X62" s="47">
        <v>1</v>
      </c>
      <c r="Y62" s="47">
        <v>1</v>
      </c>
      <c r="Z62" s="47">
        <v>1</v>
      </c>
      <c r="AA62" s="47">
        <v>0</v>
      </c>
      <c r="AB62" s="47">
        <v>1</v>
      </c>
      <c r="AC62" s="47">
        <v>1</v>
      </c>
      <c r="AD62" s="47">
        <v>0</v>
      </c>
      <c r="AE62" s="47">
        <v>1</v>
      </c>
      <c r="AF62" s="47">
        <v>0</v>
      </c>
      <c r="AG62" s="47">
        <v>0</v>
      </c>
      <c r="AH62" s="47">
        <v>1</v>
      </c>
      <c r="AI62" s="47">
        <v>1</v>
      </c>
      <c r="AJ62" s="47">
        <v>1</v>
      </c>
      <c r="AK62" s="47">
        <v>1</v>
      </c>
      <c r="AL62" s="47">
        <v>1</v>
      </c>
      <c r="AM62" s="50">
        <v>0</v>
      </c>
      <c r="AN62" s="50">
        <v>0</v>
      </c>
      <c r="AO62" s="50">
        <v>1</v>
      </c>
      <c r="AP62" s="50">
        <v>1</v>
      </c>
      <c r="AQ62" s="50">
        <v>1</v>
      </c>
      <c r="AR62" s="50">
        <v>1</v>
      </c>
      <c r="AS62" s="50">
        <v>0</v>
      </c>
      <c r="AT62" s="50">
        <v>1</v>
      </c>
      <c r="AU62" s="50">
        <v>1</v>
      </c>
      <c r="AV62" s="50">
        <v>1</v>
      </c>
      <c r="AW62" s="50">
        <v>1</v>
      </c>
      <c r="AX62" s="50">
        <v>1</v>
      </c>
      <c r="AY62" s="50">
        <v>0</v>
      </c>
      <c r="AZ62" s="50">
        <v>0</v>
      </c>
      <c r="BA62" s="50">
        <v>1</v>
      </c>
      <c r="BB62" s="50">
        <v>1</v>
      </c>
      <c r="BC62" s="50">
        <v>0</v>
      </c>
      <c r="BD62" s="50">
        <v>0</v>
      </c>
      <c r="BE62" s="50">
        <v>0</v>
      </c>
      <c r="BF62" s="50">
        <v>0</v>
      </c>
      <c r="BG62" s="41">
        <f t="shared" si="1"/>
        <v>119.19126714865745</v>
      </c>
      <c r="BH62" s="41">
        <f t="shared" si="2"/>
        <v>96.099370045609234</v>
      </c>
      <c r="BI62" s="42">
        <f t="shared" si="3"/>
        <v>0.21534672901356516</v>
      </c>
      <c r="BJ62" s="42">
        <f t="shared" si="4"/>
        <v>-0.72215595438284452</v>
      </c>
      <c r="BK62" s="42">
        <f t="shared" si="5"/>
        <v>0.74804000699260065</v>
      </c>
      <c r="BL62" s="42">
        <f t="shared" si="6"/>
        <v>1.2532788014447511</v>
      </c>
      <c r="BM62" s="42">
        <f t="shared" si="7"/>
        <v>62.532788014447512</v>
      </c>
      <c r="BN62" s="39" t="str">
        <f t="shared" si="8"/>
        <v>B+</v>
      </c>
    </row>
    <row r="63" spans="1:66" x14ac:dyDescent="0.45">
      <c r="A63" s="38">
        <v>62</v>
      </c>
      <c r="B63" s="28" t="s">
        <v>448</v>
      </c>
      <c r="C63" s="39">
        <f t="shared" si="0"/>
        <v>13</v>
      </c>
      <c r="D63" s="47">
        <v>1</v>
      </c>
      <c r="E63" s="47">
        <v>1</v>
      </c>
      <c r="F63" s="47">
        <v>1</v>
      </c>
      <c r="G63" s="47">
        <v>0</v>
      </c>
      <c r="H63" s="47">
        <v>1</v>
      </c>
      <c r="I63" s="47">
        <v>0</v>
      </c>
      <c r="J63" s="47">
        <v>0</v>
      </c>
      <c r="K63" s="47">
        <v>0</v>
      </c>
      <c r="L63" s="47">
        <v>0</v>
      </c>
      <c r="M63" s="47">
        <v>1</v>
      </c>
      <c r="N63" s="47">
        <v>0</v>
      </c>
      <c r="O63" s="47">
        <v>0</v>
      </c>
      <c r="P63" s="47">
        <v>1</v>
      </c>
      <c r="Q63" s="47">
        <v>0</v>
      </c>
      <c r="R63" s="54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1</v>
      </c>
      <c r="Z63" s="47">
        <v>1</v>
      </c>
      <c r="AA63" s="47">
        <v>1</v>
      </c>
      <c r="AB63" s="47">
        <v>1</v>
      </c>
      <c r="AC63" s="47">
        <v>1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1</v>
      </c>
      <c r="AJ63" s="47">
        <v>0</v>
      </c>
      <c r="AK63" s="47">
        <v>0</v>
      </c>
      <c r="AL63" s="47">
        <v>1</v>
      </c>
      <c r="AM63" s="50">
        <v>0</v>
      </c>
      <c r="AN63" s="50">
        <v>0</v>
      </c>
      <c r="AO63" s="50">
        <v>0</v>
      </c>
      <c r="AP63" s="50">
        <v>0</v>
      </c>
      <c r="AQ63" s="50">
        <v>0</v>
      </c>
      <c r="AR63" s="50">
        <v>0</v>
      </c>
      <c r="AS63" s="50">
        <v>0</v>
      </c>
      <c r="AT63" s="50">
        <v>0</v>
      </c>
      <c r="AU63" s="50">
        <v>0</v>
      </c>
      <c r="AV63" s="50">
        <v>0</v>
      </c>
      <c r="AW63" s="50">
        <v>0</v>
      </c>
      <c r="AX63" s="50">
        <v>0</v>
      </c>
      <c r="AY63" s="50">
        <v>0</v>
      </c>
      <c r="AZ63" s="50">
        <v>0</v>
      </c>
      <c r="BA63" s="50">
        <v>0</v>
      </c>
      <c r="BB63" s="50">
        <v>0</v>
      </c>
      <c r="BC63" s="50">
        <v>0</v>
      </c>
      <c r="BD63" s="50">
        <v>0</v>
      </c>
      <c r="BE63" s="50">
        <v>0</v>
      </c>
      <c r="BF63" s="50">
        <v>0</v>
      </c>
      <c r="BG63" s="41">
        <f t="shared" si="1"/>
        <v>36.095208708198037</v>
      </c>
      <c r="BH63" s="41">
        <f t="shared" si="2"/>
        <v>179.19542848606864</v>
      </c>
      <c r="BI63" s="42">
        <f t="shared" si="3"/>
        <v>-1.6023168557692142</v>
      </c>
      <c r="BJ63" s="42">
        <f t="shared" si="4"/>
        <v>-0.72215595438284452</v>
      </c>
      <c r="BK63" s="42">
        <f t="shared" si="5"/>
        <v>0.74804000699260065</v>
      </c>
      <c r="BL63" s="42">
        <f t="shared" si="6"/>
        <v>-1.1766227650375871</v>
      </c>
      <c r="BM63" s="42">
        <f t="shared" si="7"/>
        <v>38.233772349624132</v>
      </c>
      <c r="BN63" s="39" t="str">
        <f t="shared" si="8"/>
        <v>NC</v>
      </c>
    </row>
    <row r="64" spans="1:66" x14ac:dyDescent="0.45">
      <c r="A64" s="38">
        <v>63</v>
      </c>
      <c r="B64" s="33" t="s">
        <v>489</v>
      </c>
      <c r="C64" s="39">
        <f t="shared" si="0"/>
        <v>9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1</v>
      </c>
      <c r="L64" s="47">
        <v>0</v>
      </c>
      <c r="M64" s="47">
        <v>0</v>
      </c>
      <c r="N64" s="47">
        <v>0</v>
      </c>
      <c r="O64" s="47">
        <v>1</v>
      </c>
      <c r="P64" s="47">
        <v>0</v>
      </c>
      <c r="Q64" s="47">
        <v>0</v>
      </c>
      <c r="R64" s="54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1</v>
      </c>
      <c r="Z64" s="47">
        <v>1</v>
      </c>
      <c r="AA64" s="47">
        <v>0</v>
      </c>
      <c r="AB64" s="47">
        <v>1</v>
      </c>
      <c r="AC64" s="47">
        <v>1</v>
      </c>
      <c r="AD64" s="47">
        <v>0</v>
      </c>
      <c r="AE64" s="47">
        <v>0</v>
      </c>
      <c r="AF64" s="47">
        <v>0</v>
      </c>
      <c r="AG64" s="47">
        <v>1</v>
      </c>
      <c r="AH64" s="47">
        <v>0</v>
      </c>
      <c r="AI64" s="47">
        <v>1</v>
      </c>
      <c r="AJ64" s="47">
        <v>0</v>
      </c>
      <c r="AK64" s="47">
        <v>0</v>
      </c>
      <c r="AL64" s="47">
        <v>0</v>
      </c>
      <c r="AM64" s="50">
        <v>1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41">
        <f t="shared" si="1"/>
        <v>29.332317050338155</v>
      </c>
      <c r="BH64" s="41">
        <f t="shared" si="2"/>
        <v>185.95832014392852</v>
      </c>
      <c r="BI64" s="42">
        <f t="shared" si="3"/>
        <v>-1.8468326841559441</v>
      </c>
      <c r="BJ64" s="42">
        <f t="shared" si="4"/>
        <v>-0.72215595438284452</v>
      </c>
      <c r="BK64" s="42">
        <f t="shared" si="5"/>
        <v>0.74804000699260065</v>
      </c>
      <c r="BL64" s="42">
        <f t="shared" si="6"/>
        <v>-1.5034981007161889</v>
      </c>
      <c r="BM64" s="42">
        <f t="shared" si="7"/>
        <v>34.965018992838111</v>
      </c>
      <c r="BN64" s="39" t="str">
        <f t="shared" si="8"/>
        <v>NC</v>
      </c>
    </row>
    <row r="65" spans="1:66" x14ac:dyDescent="0.45">
      <c r="A65" s="38">
        <v>64</v>
      </c>
      <c r="B65" s="28" t="s">
        <v>443</v>
      </c>
      <c r="C65" s="39">
        <f t="shared" si="0"/>
        <v>19</v>
      </c>
      <c r="D65" s="47">
        <v>1</v>
      </c>
      <c r="E65" s="47">
        <v>1</v>
      </c>
      <c r="F65" s="47">
        <v>1</v>
      </c>
      <c r="G65" s="47">
        <v>0</v>
      </c>
      <c r="H65" s="47">
        <v>1</v>
      </c>
      <c r="I65" s="47">
        <v>1</v>
      </c>
      <c r="J65" s="47">
        <v>1</v>
      </c>
      <c r="K65" s="47">
        <v>1</v>
      </c>
      <c r="L65" s="47">
        <v>0</v>
      </c>
      <c r="M65" s="47">
        <v>1</v>
      </c>
      <c r="N65" s="47">
        <v>0</v>
      </c>
      <c r="O65" s="47">
        <v>0</v>
      </c>
      <c r="P65" s="47">
        <v>1</v>
      </c>
      <c r="Q65" s="47">
        <v>1</v>
      </c>
      <c r="R65" s="54">
        <v>0</v>
      </c>
      <c r="S65" s="47">
        <v>0</v>
      </c>
      <c r="T65" s="47">
        <v>1</v>
      </c>
      <c r="U65" s="47">
        <v>1</v>
      </c>
      <c r="V65" s="47">
        <v>1</v>
      </c>
      <c r="W65" s="47">
        <v>0</v>
      </c>
      <c r="X65" s="47">
        <v>1</v>
      </c>
      <c r="Y65" s="47">
        <v>1</v>
      </c>
      <c r="Z65" s="47">
        <v>0</v>
      </c>
      <c r="AA65" s="47">
        <v>0</v>
      </c>
      <c r="AB65" s="47">
        <v>1</v>
      </c>
      <c r="AC65" s="47">
        <v>0</v>
      </c>
      <c r="AD65" s="47">
        <v>1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1</v>
      </c>
      <c r="AL65" s="47">
        <v>0</v>
      </c>
      <c r="AM65" s="50">
        <v>0</v>
      </c>
      <c r="AN65" s="50">
        <v>0</v>
      </c>
      <c r="AO65" s="50">
        <v>0</v>
      </c>
      <c r="AP65" s="50">
        <v>0</v>
      </c>
      <c r="AQ65" s="50">
        <v>0</v>
      </c>
      <c r="AR65" s="50">
        <v>1</v>
      </c>
      <c r="AS65" s="50">
        <v>0</v>
      </c>
      <c r="AT65" s="50">
        <v>0</v>
      </c>
      <c r="AU65" s="50">
        <v>0</v>
      </c>
      <c r="AV65" s="50">
        <v>0</v>
      </c>
      <c r="AW65" s="50">
        <v>0</v>
      </c>
      <c r="AX65" s="50">
        <v>0</v>
      </c>
      <c r="AY65" s="50">
        <v>0</v>
      </c>
      <c r="AZ65" s="50">
        <v>0</v>
      </c>
      <c r="BA65" s="50">
        <v>0</v>
      </c>
      <c r="BB65" s="50">
        <v>0</v>
      </c>
      <c r="BC65" s="50">
        <v>0</v>
      </c>
      <c r="BD65" s="50">
        <v>0</v>
      </c>
      <c r="BE65" s="50">
        <v>0</v>
      </c>
      <c r="BF65" s="50">
        <v>0</v>
      </c>
      <c r="BG65" s="41">
        <f t="shared" si="1"/>
        <v>54.502371283513298</v>
      </c>
      <c r="BH65" s="41">
        <f t="shared" si="2"/>
        <v>160.78826591075338</v>
      </c>
      <c r="BI65" s="42">
        <f t="shared" si="3"/>
        <v>-1.0818441703784512</v>
      </c>
      <c r="BJ65" s="42">
        <f t="shared" si="4"/>
        <v>-0.72215595438284452</v>
      </c>
      <c r="BK65" s="42">
        <f t="shared" si="5"/>
        <v>0.74804000699260065</v>
      </c>
      <c r="BL65" s="42">
        <f t="shared" si="6"/>
        <v>-0.4808408810134196</v>
      </c>
      <c r="BM65" s="42">
        <f t="shared" si="7"/>
        <v>45.191591189865804</v>
      </c>
      <c r="BN65" s="39" t="str">
        <f t="shared" si="8"/>
        <v>C</v>
      </c>
    </row>
    <row r="66" spans="1:66" x14ac:dyDescent="0.45">
      <c r="A66" s="38">
        <v>65</v>
      </c>
      <c r="B66" s="28" t="s">
        <v>24</v>
      </c>
      <c r="C66" s="39">
        <f t="shared" si="0"/>
        <v>32</v>
      </c>
      <c r="D66" s="47">
        <v>1</v>
      </c>
      <c r="E66" s="47">
        <v>1</v>
      </c>
      <c r="F66" s="47">
        <v>1</v>
      </c>
      <c r="G66" s="47">
        <v>0</v>
      </c>
      <c r="H66" s="47">
        <v>1</v>
      </c>
      <c r="I66" s="47">
        <v>1</v>
      </c>
      <c r="J66" s="47">
        <v>1</v>
      </c>
      <c r="K66" s="47">
        <v>1</v>
      </c>
      <c r="L66" s="47">
        <v>0</v>
      </c>
      <c r="M66" s="47">
        <v>1</v>
      </c>
      <c r="N66" s="47">
        <v>0</v>
      </c>
      <c r="O66" s="47">
        <v>1</v>
      </c>
      <c r="P66" s="47">
        <v>1</v>
      </c>
      <c r="Q66" s="47">
        <v>1</v>
      </c>
      <c r="R66" s="54">
        <v>0</v>
      </c>
      <c r="S66" s="47">
        <v>1</v>
      </c>
      <c r="T66" s="47">
        <v>1</v>
      </c>
      <c r="U66" s="47">
        <v>1</v>
      </c>
      <c r="V66" s="47">
        <v>1</v>
      </c>
      <c r="W66" s="47">
        <v>1</v>
      </c>
      <c r="X66" s="47">
        <v>0</v>
      </c>
      <c r="Y66" s="47">
        <v>1</v>
      </c>
      <c r="Z66" s="47">
        <v>1</v>
      </c>
      <c r="AA66" s="47">
        <v>1</v>
      </c>
      <c r="AB66" s="47">
        <v>1</v>
      </c>
      <c r="AC66" s="47">
        <v>1</v>
      </c>
      <c r="AD66" s="47">
        <v>0</v>
      </c>
      <c r="AE66" s="47">
        <v>1</v>
      </c>
      <c r="AF66" s="47">
        <v>1</v>
      </c>
      <c r="AG66" s="47">
        <v>0</v>
      </c>
      <c r="AH66" s="47">
        <v>1</v>
      </c>
      <c r="AI66" s="47">
        <v>0</v>
      </c>
      <c r="AJ66" s="47">
        <v>1</v>
      </c>
      <c r="AK66" s="47">
        <v>1</v>
      </c>
      <c r="AL66" s="47">
        <v>1</v>
      </c>
      <c r="AM66" s="50">
        <v>1</v>
      </c>
      <c r="AN66" s="50">
        <v>1</v>
      </c>
      <c r="AO66" s="50">
        <v>0</v>
      </c>
      <c r="AP66" s="50">
        <v>1</v>
      </c>
      <c r="AQ66" s="50">
        <v>1</v>
      </c>
      <c r="AR66" s="50">
        <v>0</v>
      </c>
      <c r="AS66" s="50">
        <v>0</v>
      </c>
      <c r="AT66" s="50">
        <v>1</v>
      </c>
      <c r="AU66" s="50">
        <v>0</v>
      </c>
      <c r="AV66" s="50">
        <v>0</v>
      </c>
      <c r="AW66" s="50">
        <v>0</v>
      </c>
      <c r="AX66" s="50">
        <v>0</v>
      </c>
      <c r="AY66" s="50">
        <v>0</v>
      </c>
      <c r="AZ66" s="50">
        <v>0</v>
      </c>
      <c r="BA66" s="50">
        <v>0</v>
      </c>
      <c r="BB66" s="50">
        <v>0</v>
      </c>
      <c r="BC66" s="50">
        <v>0</v>
      </c>
      <c r="BD66" s="50">
        <v>0</v>
      </c>
      <c r="BE66" s="50">
        <v>0</v>
      </c>
      <c r="BF66" s="50">
        <v>0</v>
      </c>
      <c r="BG66" s="41">
        <f t="shared" si="1"/>
        <v>98.864680263422144</v>
      </c>
      <c r="BH66" s="41">
        <f t="shared" si="2"/>
        <v>116.42595693084454</v>
      </c>
      <c r="BI66" s="42">
        <f t="shared" si="3"/>
        <v>-0.1635034590296548</v>
      </c>
      <c r="BJ66" s="42">
        <f t="shared" si="4"/>
        <v>-0.72215595438284452</v>
      </c>
      <c r="BK66" s="42">
        <f t="shared" si="5"/>
        <v>0.74804000699260065</v>
      </c>
      <c r="BL66" s="42">
        <f t="shared" si="6"/>
        <v>0.74682168083386447</v>
      </c>
      <c r="BM66" s="42">
        <f t="shared" si="7"/>
        <v>57.468216808338646</v>
      </c>
      <c r="BN66" s="39" t="str">
        <f t="shared" si="8"/>
        <v>B</v>
      </c>
    </row>
    <row r="67" spans="1:66" x14ac:dyDescent="0.45">
      <c r="A67" s="38">
        <v>66</v>
      </c>
      <c r="B67" s="28" t="s">
        <v>510</v>
      </c>
      <c r="C67" s="39">
        <f t="shared" ref="C67:C122" si="9">SUM(D67:BF67)</f>
        <v>23</v>
      </c>
      <c r="D67" s="47">
        <v>1</v>
      </c>
      <c r="E67" s="47">
        <v>1</v>
      </c>
      <c r="F67" s="47">
        <v>1</v>
      </c>
      <c r="G67" s="47">
        <v>0</v>
      </c>
      <c r="H67" s="47">
        <v>1</v>
      </c>
      <c r="I67" s="47">
        <v>1</v>
      </c>
      <c r="J67" s="47">
        <v>1</v>
      </c>
      <c r="K67" s="47">
        <v>0</v>
      </c>
      <c r="L67" s="47">
        <v>0</v>
      </c>
      <c r="M67" s="47">
        <v>1</v>
      </c>
      <c r="N67" s="47">
        <v>1</v>
      </c>
      <c r="O67" s="47">
        <v>1</v>
      </c>
      <c r="P67" s="47">
        <v>0</v>
      </c>
      <c r="Q67" s="47">
        <v>0</v>
      </c>
      <c r="R67" s="54">
        <v>0</v>
      </c>
      <c r="S67" s="47">
        <v>0</v>
      </c>
      <c r="T67" s="47">
        <v>1</v>
      </c>
      <c r="U67" s="47">
        <v>0</v>
      </c>
      <c r="V67" s="47">
        <v>1</v>
      </c>
      <c r="W67" s="47">
        <v>0</v>
      </c>
      <c r="X67" s="47">
        <v>1</v>
      </c>
      <c r="Y67" s="47">
        <v>0</v>
      </c>
      <c r="Z67" s="47">
        <v>1</v>
      </c>
      <c r="AA67" s="47">
        <v>1</v>
      </c>
      <c r="AB67" s="47">
        <v>0</v>
      </c>
      <c r="AC67" s="47">
        <v>1</v>
      </c>
      <c r="AD67" s="47">
        <v>0</v>
      </c>
      <c r="AE67" s="47">
        <v>1</v>
      </c>
      <c r="AF67" s="47">
        <v>0</v>
      </c>
      <c r="AG67" s="47">
        <v>0</v>
      </c>
      <c r="AH67" s="47">
        <v>1</v>
      </c>
      <c r="AI67" s="47">
        <v>0</v>
      </c>
      <c r="AJ67" s="47">
        <v>0</v>
      </c>
      <c r="AK67" s="47">
        <v>0</v>
      </c>
      <c r="AL67" s="47">
        <v>0</v>
      </c>
      <c r="AM67" s="47">
        <v>1</v>
      </c>
      <c r="AN67" s="47">
        <v>0</v>
      </c>
      <c r="AO67" s="47">
        <v>0</v>
      </c>
      <c r="AP67" s="47">
        <v>0</v>
      </c>
      <c r="AQ67" s="47">
        <v>1</v>
      </c>
      <c r="AR67" s="47">
        <v>1</v>
      </c>
      <c r="AS67" s="47">
        <v>0</v>
      </c>
      <c r="AT67" s="47">
        <v>1</v>
      </c>
      <c r="AU67" s="47">
        <v>1</v>
      </c>
      <c r="AV67" s="47">
        <v>0</v>
      </c>
      <c r="AW67" s="47">
        <v>1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1">
        <f t="shared" ref="BG67:BG122" si="10">D67*$D$127+E67*$E$127+F67*$F$127+G67*$G$127+H67*$H$127+I67*$I$127+J67*$J$127+K67*$K$127+L67*$L$127+M67*$M$127+N67*$N$127+O67*$O$127+P67*$P$127+Q67*$Q$127+R67*$R$127+S67*$S$127+T67*$T$127+U67*$U$127+V67*$V$127+W67*W$127+X67*$X$127+Y67*$Y$127+Z67*$Z$127+AA67*$AA$127+AB67*$AB$127+AC67*$AC$127+AD67*$AD$127+AE67*$AE$127+AF67*$AF$127+AG67*$AG$127+AH67*$AH$127+AI67*$AI$127+AJ67*$AJ$127+AK67*$AK$127+AL67*$AL$127+AM67*$AM$127+AN67*$AN$127+AO67*$AO$127+AP67*$AP$127+AQ67*$AQ$127+AR67*$AR$127+AS67*$AS$127+AT67*$AT$127+AU67*$AU$127+AV67*$AV$127+AW67*$AW$127+AX67*$AX$127+AY67*$AY$127+AZ67*$AZ$127+BA67*$BA$127+BB67*$BB$127+BC67*$BC$127+BD67*$BD$127+BE67*$BE$127+BF67*$BF$127</f>
        <v>74.401252601533969</v>
      </c>
      <c r="BH67" s="41">
        <f t="shared" ref="BH67:BH122" si="11">$BG$127-BG67</f>
        <v>140.88938459273271</v>
      </c>
      <c r="BI67" s="42">
        <f t="shared" ref="BI67:BI122" si="12">LN(BG67/IF(BH67=0,1,BH67))</f>
        <v>-0.63850229831799443</v>
      </c>
      <c r="BJ67" s="42">
        <f t="shared" ref="BJ67:BJ122" si="13">AVERAGE($BI$2:$BI$122)</f>
        <v>-0.72215595438284452</v>
      </c>
      <c r="BK67" s="42">
        <f t="shared" ref="BK67:BK122" si="14">_xlfn.STDEV.S($BI$2:$BI$122)</f>
        <v>0.74804000699260065</v>
      </c>
      <c r="BL67" s="42">
        <f t="shared" ref="BL67:BL122" si="15">(BI67-BJ67)/BK67</f>
        <v>0.11183045730557772</v>
      </c>
      <c r="BM67" s="42">
        <f t="shared" ref="BM67:BM122" si="16">50+10*BL67</f>
        <v>51.118304573055781</v>
      </c>
      <c r="BN67" s="39" t="str">
        <f t="shared" ref="BN67:BN122" si="17">IF(BM67&lt;45,"NC",IF(BM67&lt;50,"C",IF(BM67&lt;55,"C+",IF(BM67&lt;60,"B",IF(BM67&lt;65,"B+",IF(BM67&lt;=70,"A","A+"))))))</f>
        <v>C+</v>
      </c>
    </row>
    <row r="68" spans="1:66" x14ac:dyDescent="0.45">
      <c r="A68" s="38">
        <v>67</v>
      </c>
      <c r="B68" s="28" t="s">
        <v>23</v>
      </c>
      <c r="C68" s="39">
        <f t="shared" si="9"/>
        <v>30</v>
      </c>
      <c r="D68" s="47">
        <v>1</v>
      </c>
      <c r="E68" s="47">
        <v>1</v>
      </c>
      <c r="F68" s="47">
        <v>0</v>
      </c>
      <c r="G68" s="47">
        <v>1</v>
      </c>
      <c r="H68" s="47">
        <v>1</v>
      </c>
      <c r="I68" s="47">
        <v>1</v>
      </c>
      <c r="J68" s="47">
        <v>0</v>
      </c>
      <c r="K68" s="47">
        <v>0</v>
      </c>
      <c r="L68" s="47">
        <v>1</v>
      </c>
      <c r="M68" s="47">
        <v>1</v>
      </c>
      <c r="N68" s="47">
        <v>0</v>
      </c>
      <c r="O68" s="47">
        <v>1</v>
      </c>
      <c r="P68" s="47">
        <v>1</v>
      </c>
      <c r="Q68" s="47">
        <v>0</v>
      </c>
      <c r="R68" s="54">
        <v>0</v>
      </c>
      <c r="S68" s="47">
        <v>1</v>
      </c>
      <c r="T68" s="47">
        <v>1</v>
      </c>
      <c r="U68" s="47">
        <v>0</v>
      </c>
      <c r="V68" s="47">
        <v>1</v>
      </c>
      <c r="W68" s="47">
        <v>1</v>
      </c>
      <c r="X68" s="47">
        <v>1</v>
      </c>
      <c r="Y68" s="47">
        <v>1</v>
      </c>
      <c r="Z68" s="47">
        <v>1</v>
      </c>
      <c r="AA68" s="47">
        <v>1</v>
      </c>
      <c r="AB68" s="47">
        <v>1</v>
      </c>
      <c r="AC68" s="47">
        <v>1</v>
      </c>
      <c r="AD68" s="47">
        <v>0</v>
      </c>
      <c r="AE68" s="47">
        <v>1</v>
      </c>
      <c r="AF68" s="47">
        <v>1</v>
      </c>
      <c r="AG68" s="47">
        <v>0</v>
      </c>
      <c r="AH68" s="47">
        <v>0</v>
      </c>
      <c r="AI68" s="47">
        <v>0</v>
      </c>
      <c r="AJ68" s="47">
        <v>1</v>
      </c>
      <c r="AK68" s="47">
        <v>1</v>
      </c>
      <c r="AL68" s="47">
        <v>0</v>
      </c>
      <c r="AM68" s="50">
        <v>1</v>
      </c>
      <c r="AN68" s="50">
        <v>1</v>
      </c>
      <c r="AO68" s="50">
        <v>0</v>
      </c>
      <c r="AP68" s="50">
        <v>0</v>
      </c>
      <c r="AQ68" s="50">
        <v>0</v>
      </c>
      <c r="AR68" s="50">
        <v>1</v>
      </c>
      <c r="AS68" s="50">
        <v>0</v>
      </c>
      <c r="AT68" s="50">
        <v>0</v>
      </c>
      <c r="AU68" s="50">
        <v>1</v>
      </c>
      <c r="AV68" s="50">
        <v>1</v>
      </c>
      <c r="AW68" s="50">
        <v>1</v>
      </c>
      <c r="AX68" s="50">
        <v>0</v>
      </c>
      <c r="AY68" s="50">
        <v>0</v>
      </c>
      <c r="AZ68" s="50">
        <v>0</v>
      </c>
      <c r="BA68" s="50">
        <v>0</v>
      </c>
      <c r="BB68" s="50">
        <v>0</v>
      </c>
      <c r="BC68" s="50">
        <v>0</v>
      </c>
      <c r="BD68" s="50">
        <v>1</v>
      </c>
      <c r="BE68" s="50">
        <v>0</v>
      </c>
      <c r="BF68" s="50">
        <v>0</v>
      </c>
      <c r="BG68" s="41">
        <f t="shared" si="10"/>
        <v>97.962668293765958</v>
      </c>
      <c r="BH68" s="41">
        <f t="shared" si="11"/>
        <v>117.32796890050072</v>
      </c>
      <c r="BI68" s="42">
        <f t="shared" si="12"/>
        <v>-0.1803866959686008</v>
      </c>
      <c r="BJ68" s="42">
        <f t="shared" si="13"/>
        <v>-0.72215595438284452</v>
      </c>
      <c r="BK68" s="42">
        <f t="shared" si="14"/>
        <v>0.74804000699260065</v>
      </c>
      <c r="BL68" s="42">
        <f t="shared" si="15"/>
        <v>0.72425171561659896</v>
      </c>
      <c r="BM68" s="42">
        <f t="shared" si="16"/>
        <v>57.242517156165988</v>
      </c>
      <c r="BN68" s="39" t="str">
        <f t="shared" si="17"/>
        <v>B</v>
      </c>
    </row>
    <row r="69" spans="1:66" x14ac:dyDescent="0.45">
      <c r="A69" s="38">
        <v>68</v>
      </c>
      <c r="B69" s="33" t="s">
        <v>518</v>
      </c>
      <c r="C69" s="39">
        <f t="shared" si="9"/>
        <v>9</v>
      </c>
      <c r="D69" s="47">
        <v>0</v>
      </c>
      <c r="E69" s="47">
        <v>0</v>
      </c>
      <c r="F69" s="47">
        <v>1</v>
      </c>
      <c r="G69" s="47">
        <v>0</v>
      </c>
      <c r="H69" s="47">
        <v>0</v>
      </c>
      <c r="I69" s="47">
        <v>1</v>
      </c>
      <c r="J69" s="47">
        <v>0</v>
      </c>
      <c r="K69" s="47">
        <v>1</v>
      </c>
      <c r="L69" s="47">
        <v>1</v>
      </c>
      <c r="M69" s="47">
        <v>0</v>
      </c>
      <c r="N69" s="47">
        <v>0</v>
      </c>
      <c r="O69" s="47">
        <v>0</v>
      </c>
      <c r="P69" s="47">
        <v>1</v>
      </c>
      <c r="Q69" s="47">
        <v>0</v>
      </c>
      <c r="R69" s="54">
        <v>0</v>
      </c>
      <c r="S69" s="47">
        <v>1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1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1</v>
      </c>
      <c r="AK69" s="47">
        <v>1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1">
        <f t="shared" si="10"/>
        <v>25.523413707655074</v>
      </c>
      <c r="BH69" s="41">
        <f t="shared" si="11"/>
        <v>189.76722348661161</v>
      </c>
      <c r="BI69" s="42">
        <f t="shared" si="12"/>
        <v>-2.006201966014693</v>
      </c>
      <c r="BJ69" s="42">
        <f t="shared" si="13"/>
        <v>-0.72215595438284452</v>
      </c>
      <c r="BK69" s="42">
        <f t="shared" si="14"/>
        <v>0.74804000699260065</v>
      </c>
      <c r="BL69" s="42">
        <f t="shared" si="15"/>
        <v>-1.716547242966578</v>
      </c>
      <c r="BM69" s="42">
        <f t="shared" si="16"/>
        <v>32.834527570334217</v>
      </c>
      <c r="BN69" s="39" t="str">
        <f t="shared" si="17"/>
        <v>NC</v>
      </c>
    </row>
    <row r="70" spans="1:66" x14ac:dyDescent="0.45">
      <c r="A70" s="38">
        <v>69</v>
      </c>
      <c r="B70" s="34" t="s">
        <v>496</v>
      </c>
      <c r="C70" s="39">
        <f t="shared" si="9"/>
        <v>20</v>
      </c>
      <c r="D70" s="47">
        <v>1</v>
      </c>
      <c r="E70" s="47">
        <v>1</v>
      </c>
      <c r="F70" s="47">
        <v>0</v>
      </c>
      <c r="G70" s="47">
        <v>0</v>
      </c>
      <c r="H70" s="47">
        <v>0</v>
      </c>
      <c r="I70" s="47">
        <v>1</v>
      </c>
      <c r="J70" s="47">
        <v>1</v>
      </c>
      <c r="K70" s="47">
        <v>1</v>
      </c>
      <c r="L70" s="47">
        <v>0</v>
      </c>
      <c r="M70" s="47">
        <v>1</v>
      </c>
      <c r="N70" s="47">
        <v>0</v>
      </c>
      <c r="O70" s="47">
        <v>0</v>
      </c>
      <c r="P70" s="47">
        <v>1</v>
      </c>
      <c r="Q70" s="47">
        <v>0</v>
      </c>
      <c r="R70" s="54">
        <v>0</v>
      </c>
      <c r="S70" s="47">
        <v>0</v>
      </c>
      <c r="T70" s="47">
        <v>1</v>
      </c>
      <c r="U70" s="47">
        <v>1</v>
      </c>
      <c r="V70" s="47">
        <v>1</v>
      </c>
      <c r="W70" s="47">
        <v>0</v>
      </c>
      <c r="X70" s="47">
        <v>0</v>
      </c>
      <c r="Y70" s="47">
        <v>1</v>
      </c>
      <c r="Z70" s="47">
        <v>1</v>
      </c>
      <c r="AA70" s="47">
        <v>1</v>
      </c>
      <c r="AB70" s="47">
        <v>1</v>
      </c>
      <c r="AC70" s="47">
        <v>1</v>
      </c>
      <c r="AD70" s="47">
        <v>0</v>
      </c>
      <c r="AE70" s="47">
        <v>1</v>
      </c>
      <c r="AF70" s="47">
        <v>0</v>
      </c>
      <c r="AG70" s="47">
        <v>0</v>
      </c>
      <c r="AH70" s="47">
        <v>0</v>
      </c>
      <c r="AI70" s="47">
        <v>1</v>
      </c>
      <c r="AJ70" s="47">
        <v>0</v>
      </c>
      <c r="AK70" s="47">
        <v>1</v>
      </c>
      <c r="AL70" s="47">
        <v>1</v>
      </c>
      <c r="AM70" s="50">
        <v>1</v>
      </c>
      <c r="AN70" s="50">
        <v>0</v>
      </c>
      <c r="AO70" s="50">
        <v>0</v>
      </c>
      <c r="AP70" s="50">
        <v>0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50">
        <v>0</v>
      </c>
      <c r="AY70" s="50">
        <v>0</v>
      </c>
      <c r="AZ70" s="50">
        <v>0</v>
      </c>
      <c r="BA70" s="50">
        <v>0</v>
      </c>
      <c r="BB70" s="50">
        <v>0</v>
      </c>
      <c r="BC70" s="50">
        <v>0</v>
      </c>
      <c r="BD70" s="50">
        <v>0</v>
      </c>
      <c r="BE70" s="50">
        <v>0</v>
      </c>
      <c r="BF70" s="50">
        <v>0</v>
      </c>
      <c r="BG70" s="41">
        <f t="shared" si="10"/>
        <v>55.955150072750293</v>
      </c>
      <c r="BH70" s="41">
        <f t="shared" si="11"/>
        <v>159.33548712151639</v>
      </c>
      <c r="BI70" s="42">
        <f t="shared" si="12"/>
        <v>-1.0464614829389085</v>
      </c>
      <c r="BJ70" s="42">
        <f t="shared" si="13"/>
        <v>-0.72215595438284452</v>
      </c>
      <c r="BK70" s="42">
        <f t="shared" si="14"/>
        <v>0.74804000699260065</v>
      </c>
      <c r="BL70" s="42">
        <f t="shared" si="15"/>
        <v>-0.43354035282135905</v>
      </c>
      <c r="BM70" s="42">
        <f t="shared" si="16"/>
        <v>45.66459647178641</v>
      </c>
      <c r="BN70" s="39" t="str">
        <f t="shared" si="17"/>
        <v>C</v>
      </c>
    </row>
    <row r="71" spans="1:66" x14ac:dyDescent="0.45">
      <c r="A71" s="38">
        <v>70</v>
      </c>
      <c r="B71" s="35" t="s">
        <v>47</v>
      </c>
      <c r="C71" s="39">
        <f t="shared" si="9"/>
        <v>21</v>
      </c>
      <c r="D71" s="47">
        <v>1</v>
      </c>
      <c r="E71" s="47">
        <v>1</v>
      </c>
      <c r="F71" s="47">
        <v>1</v>
      </c>
      <c r="G71" s="47">
        <v>0</v>
      </c>
      <c r="H71" s="47">
        <v>1</v>
      </c>
      <c r="I71" s="47">
        <v>1</v>
      </c>
      <c r="J71" s="47">
        <v>1</v>
      </c>
      <c r="K71" s="47">
        <v>0</v>
      </c>
      <c r="L71" s="47">
        <v>1</v>
      </c>
      <c r="M71" s="47">
        <v>1</v>
      </c>
      <c r="N71" s="47">
        <v>0</v>
      </c>
      <c r="O71" s="47">
        <v>1</v>
      </c>
      <c r="P71" s="47">
        <v>1</v>
      </c>
      <c r="Q71" s="47">
        <v>0</v>
      </c>
      <c r="R71" s="54">
        <v>0</v>
      </c>
      <c r="S71" s="47">
        <v>0</v>
      </c>
      <c r="T71" s="47">
        <v>1</v>
      </c>
      <c r="U71" s="47">
        <v>1</v>
      </c>
      <c r="V71" s="47">
        <v>0</v>
      </c>
      <c r="W71" s="47">
        <v>1</v>
      </c>
      <c r="X71" s="47">
        <v>0</v>
      </c>
      <c r="Y71" s="47">
        <v>1</v>
      </c>
      <c r="Z71" s="47">
        <v>0</v>
      </c>
      <c r="AA71" s="47">
        <v>0</v>
      </c>
      <c r="AB71" s="47">
        <v>0</v>
      </c>
      <c r="AC71" s="47">
        <v>1</v>
      </c>
      <c r="AD71" s="47">
        <v>0</v>
      </c>
      <c r="AE71" s="47">
        <v>1</v>
      </c>
      <c r="AF71" s="47">
        <v>1</v>
      </c>
      <c r="AG71" s="47">
        <v>0</v>
      </c>
      <c r="AH71" s="47">
        <v>0</v>
      </c>
      <c r="AI71" s="47">
        <v>0</v>
      </c>
      <c r="AJ71" s="47">
        <v>0</v>
      </c>
      <c r="AK71" s="47">
        <v>1</v>
      </c>
      <c r="AL71" s="47">
        <v>0</v>
      </c>
      <c r="AM71" s="50">
        <v>0</v>
      </c>
      <c r="AN71" s="50">
        <v>0</v>
      </c>
      <c r="AO71" s="50">
        <v>1</v>
      </c>
      <c r="AP71" s="50">
        <v>1</v>
      </c>
      <c r="AQ71" s="50">
        <v>0</v>
      </c>
      <c r="AR71" s="50">
        <v>0</v>
      </c>
      <c r="AS71" s="50">
        <v>0</v>
      </c>
      <c r="AT71" s="50">
        <v>0</v>
      </c>
      <c r="AU71" s="50">
        <v>0</v>
      </c>
      <c r="AV71" s="50">
        <v>0</v>
      </c>
      <c r="AW71" s="50">
        <v>0</v>
      </c>
      <c r="AX71" s="50">
        <v>0</v>
      </c>
      <c r="AY71" s="50">
        <v>0</v>
      </c>
      <c r="AZ71" s="50">
        <v>0</v>
      </c>
      <c r="BA71" s="50">
        <v>1</v>
      </c>
      <c r="BB71" s="50">
        <v>0</v>
      </c>
      <c r="BC71" s="50">
        <v>0</v>
      </c>
      <c r="BD71" s="50">
        <v>0</v>
      </c>
      <c r="BE71" s="50">
        <v>0</v>
      </c>
      <c r="BF71" s="50">
        <v>0</v>
      </c>
      <c r="BG71" s="41">
        <f t="shared" si="10"/>
        <v>61.862964734572806</v>
      </c>
      <c r="BH71" s="41">
        <f t="shared" si="11"/>
        <v>153.42767245969387</v>
      </c>
      <c r="BI71" s="42">
        <f t="shared" si="12"/>
        <v>-0.90830757416585928</v>
      </c>
      <c r="BJ71" s="42">
        <f t="shared" si="13"/>
        <v>-0.72215595438284452</v>
      </c>
      <c r="BK71" s="42">
        <f t="shared" si="14"/>
        <v>0.74804000699260065</v>
      </c>
      <c r="BL71" s="42">
        <f t="shared" si="15"/>
        <v>-0.24885249190269057</v>
      </c>
      <c r="BM71" s="42">
        <f t="shared" si="16"/>
        <v>47.511475080973092</v>
      </c>
      <c r="BN71" s="39" t="str">
        <f t="shared" si="17"/>
        <v>C</v>
      </c>
    </row>
    <row r="72" spans="1:66" x14ac:dyDescent="0.45">
      <c r="A72" s="38">
        <v>71</v>
      </c>
      <c r="B72" s="35" t="s">
        <v>472</v>
      </c>
      <c r="C72" s="39">
        <f t="shared" si="9"/>
        <v>12</v>
      </c>
      <c r="D72" s="47">
        <v>0</v>
      </c>
      <c r="E72" s="47">
        <v>1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1</v>
      </c>
      <c r="Q72" s="47">
        <v>0</v>
      </c>
      <c r="R72" s="54">
        <v>0</v>
      </c>
      <c r="S72" s="47">
        <v>1</v>
      </c>
      <c r="T72" s="47">
        <v>1</v>
      </c>
      <c r="U72" s="47">
        <v>1</v>
      </c>
      <c r="V72" s="47">
        <v>1</v>
      </c>
      <c r="W72" s="47">
        <v>1</v>
      </c>
      <c r="X72" s="47">
        <v>0</v>
      </c>
      <c r="Y72" s="47">
        <v>0</v>
      </c>
      <c r="Z72" s="47">
        <v>0</v>
      </c>
      <c r="AA72" s="47">
        <v>0</v>
      </c>
      <c r="AB72" s="47">
        <v>1</v>
      </c>
      <c r="AC72" s="47">
        <v>1</v>
      </c>
      <c r="AD72" s="47">
        <v>0</v>
      </c>
      <c r="AE72" s="47">
        <v>0</v>
      </c>
      <c r="AF72" s="47">
        <v>0</v>
      </c>
      <c r="AG72" s="47">
        <v>1</v>
      </c>
      <c r="AH72" s="47">
        <v>0</v>
      </c>
      <c r="AI72" s="47">
        <v>0</v>
      </c>
      <c r="AJ72" s="47">
        <v>1</v>
      </c>
      <c r="AK72" s="47">
        <v>0</v>
      </c>
      <c r="AL72" s="47">
        <v>1</v>
      </c>
      <c r="AM72" s="50">
        <v>0</v>
      </c>
      <c r="AN72" s="50">
        <v>0</v>
      </c>
      <c r="AO72" s="50">
        <v>0</v>
      </c>
      <c r="AP72" s="50">
        <v>0</v>
      </c>
      <c r="AQ72" s="50">
        <v>0</v>
      </c>
      <c r="AR72" s="50">
        <v>0</v>
      </c>
      <c r="AS72" s="50">
        <v>0</v>
      </c>
      <c r="AT72" s="50">
        <v>0</v>
      </c>
      <c r="AU72" s="50">
        <v>0</v>
      </c>
      <c r="AV72" s="50">
        <v>0</v>
      </c>
      <c r="AW72" s="50">
        <v>0</v>
      </c>
      <c r="AX72" s="50">
        <v>0</v>
      </c>
      <c r="AY72" s="50">
        <v>0</v>
      </c>
      <c r="AZ72" s="50">
        <v>0</v>
      </c>
      <c r="BA72" s="50">
        <v>0</v>
      </c>
      <c r="BB72" s="50">
        <v>0</v>
      </c>
      <c r="BC72" s="50">
        <v>0</v>
      </c>
      <c r="BD72" s="50">
        <v>0</v>
      </c>
      <c r="BE72" s="50">
        <v>0</v>
      </c>
      <c r="BF72" s="50">
        <v>0</v>
      </c>
      <c r="BG72" s="41">
        <f t="shared" si="10"/>
        <v>33.19132221792907</v>
      </c>
      <c r="BH72" s="41">
        <f t="shared" si="11"/>
        <v>182.09931497633761</v>
      </c>
      <c r="BI72" s="42">
        <f t="shared" si="12"/>
        <v>-1.7022637621481684</v>
      </c>
      <c r="BJ72" s="42">
        <f t="shared" si="13"/>
        <v>-0.72215595438284452</v>
      </c>
      <c r="BK72" s="42">
        <f t="shared" si="14"/>
        <v>0.74804000699260065</v>
      </c>
      <c r="BL72" s="42">
        <f t="shared" si="15"/>
        <v>-1.3102344775725596</v>
      </c>
      <c r="BM72" s="42">
        <f t="shared" si="16"/>
        <v>36.897655224274402</v>
      </c>
      <c r="BN72" s="39" t="str">
        <f t="shared" si="17"/>
        <v>NC</v>
      </c>
    </row>
    <row r="73" spans="1:66" s="29" customFormat="1" x14ac:dyDescent="0.45">
      <c r="A73" s="38">
        <v>72</v>
      </c>
      <c r="B73" s="35" t="s">
        <v>440</v>
      </c>
      <c r="C73" s="39">
        <f t="shared" si="9"/>
        <v>28</v>
      </c>
      <c r="D73" s="47">
        <v>1</v>
      </c>
      <c r="E73" s="47">
        <v>1</v>
      </c>
      <c r="F73" s="47">
        <v>1</v>
      </c>
      <c r="G73" s="47">
        <v>0</v>
      </c>
      <c r="H73" s="47">
        <v>1</v>
      </c>
      <c r="I73" s="47">
        <v>1</v>
      </c>
      <c r="J73" s="47">
        <v>1</v>
      </c>
      <c r="K73" s="47">
        <v>0</v>
      </c>
      <c r="L73" s="47">
        <v>0</v>
      </c>
      <c r="M73" s="47">
        <v>0</v>
      </c>
      <c r="N73" s="47">
        <v>0</v>
      </c>
      <c r="O73" s="47">
        <v>1</v>
      </c>
      <c r="P73" s="47">
        <v>1</v>
      </c>
      <c r="Q73" s="47">
        <v>0</v>
      </c>
      <c r="R73" s="54">
        <v>0</v>
      </c>
      <c r="S73" s="47">
        <v>0</v>
      </c>
      <c r="T73" s="47">
        <v>1</v>
      </c>
      <c r="U73" s="47">
        <v>1</v>
      </c>
      <c r="V73" s="47">
        <v>1</v>
      </c>
      <c r="W73" s="47">
        <v>1</v>
      </c>
      <c r="X73" s="47">
        <v>1</v>
      </c>
      <c r="Y73" s="47">
        <v>1</v>
      </c>
      <c r="Z73" s="47">
        <v>1</v>
      </c>
      <c r="AA73" s="47">
        <v>0</v>
      </c>
      <c r="AB73" s="47">
        <v>1</v>
      </c>
      <c r="AC73" s="47">
        <v>1</v>
      </c>
      <c r="AD73" s="47">
        <v>1</v>
      </c>
      <c r="AE73" s="47">
        <v>1</v>
      </c>
      <c r="AF73" s="47">
        <v>1</v>
      </c>
      <c r="AG73" s="47">
        <v>1</v>
      </c>
      <c r="AH73" s="47">
        <v>0</v>
      </c>
      <c r="AI73" s="47">
        <v>1</v>
      </c>
      <c r="AJ73" s="47">
        <v>1</v>
      </c>
      <c r="AK73" s="47">
        <v>1</v>
      </c>
      <c r="AL73" s="47">
        <v>0</v>
      </c>
      <c r="AM73" s="50">
        <v>1</v>
      </c>
      <c r="AN73" s="50">
        <v>0</v>
      </c>
      <c r="AO73" s="50">
        <v>0</v>
      </c>
      <c r="AP73" s="50">
        <v>0</v>
      </c>
      <c r="AQ73" s="50">
        <v>1</v>
      </c>
      <c r="AR73" s="50">
        <v>1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50">
        <v>0</v>
      </c>
      <c r="AY73" s="50">
        <v>0</v>
      </c>
      <c r="AZ73" s="50">
        <v>0</v>
      </c>
      <c r="BA73" s="50">
        <v>0</v>
      </c>
      <c r="BB73" s="50">
        <v>0</v>
      </c>
      <c r="BC73" s="50">
        <v>0</v>
      </c>
      <c r="BD73" s="50">
        <v>1</v>
      </c>
      <c r="BE73" s="50">
        <v>0</v>
      </c>
      <c r="BF73" s="50">
        <v>0</v>
      </c>
      <c r="BG73" s="41">
        <f t="shared" si="10"/>
        <v>87.261926966799521</v>
      </c>
      <c r="BH73" s="41">
        <f t="shared" si="11"/>
        <v>128.02871022746717</v>
      </c>
      <c r="BI73" s="42">
        <f t="shared" si="12"/>
        <v>-0.38334028692053029</v>
      </c>
      <c r="BJ73" s="42">
        <f t="shared" si="13"/>
        <v>-0.72215595438284452</v>
      </c>
      <c r="BK73" s="42">
        <f t="shared" si="14"/>
        <v>0.74804000699260065</v>
      </c>
      <c r="BL73" s="42">
        <f t="shared" si="15"/>
        <v>0.4529378967636763</v>
      </c>
      <c r="BM73" s="42">
        <f t="shared" si="16"/>
        <v>54.52937896763676</v>
      </c>
      <c r="BN73" s="39" t="str">
        <f t="shared" si="17"/>
        <v>C+</v>
      </c>
    </row>
    <row r="74" spans="1:66" x14ac:dyDescent="0.45">
      <c r="A74" s="38">
        <v>73</v>
      </c>
      <c r="B74" s="35" t="s">
        <v>495</v>
      </c>
      <c r="C74" s="39">
        <f t="shared" si="9"/>
        <v>11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1</v>
      </c>
      <c r="K74" s="47">
        <v>0</v>
      </c>
      <c r="L74" s="47">
        <v>0</v>
      </c>
      <c r="M74" s="47">
        <v>0</v>
      </c>
      <c r="N74" s="47">
        <v>1</v>
      </c>
      <c r="O74" s="47">
        <v>0</v>
      </c>
      <c r="P74" s="47">
        <v>1</v>
      </c>
      <c r="Q74" s="47">
        <v>0</v>
      </c>
      <c r="R74" s="54">
        <v>1</v>
      </c>
      <c r="S74" s="47">
        <v>0</v>
      </c>
      <c r="T74" s="47">
        <v>1</v>
      </c>
      <c r="U74" s="47">
        <v>0</v>
      </c>
      <c r="V74" s="47">
        <v>0</v>
      </c>
      <c r="W74" s="47">
        <v>1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1</v>
      </c>
      <c r="AD74" s="47">
        <v>1</v>
      </c>
      <c r="AE74" s="47">
        <v>0</v>
      </c>
      <c r="AF74" s="47">
        <v>1</v>
      </c>
      <c r="AG74" s="47">
        <v>1</v>
      </c>
      <c r="AH74" s="47">
        <v>0</v>
      </c>
      <c r="AI74" s="47">
        <v>0</v>
      </c>
      <c r="AJ74" s="47">
        <v>0</v>
      </c>
      <c r="AK74" s="47">
        <v>1</v>
      </c>
      <c r="AL74" s="47">
        <v>0</v>
      </c>
      <c r="AM74" s="50">
        <v>0</v>
      </c>
      <c r="AN74" s="50">
        <v>0</v>
      </c>
      <c r="AO74" s="50">
        <v>0</v>
      </c>
      <c r="AP74" s="50">
        <v>0</v>
      </c>
      <c r="AQ74" s="50">
        <v>0</v>
      </c>
      <c r="AR74" s="50">
        <v>0</v>
      </c>
      <c r="AS74" s="50">
        <v>0</v>
      </c>
      <c r="AT74" s="50">
        <v>0</v>
      </c>
      <c r="AU74" s="50">
        <v>0</v>
      </c>
      <c r="AV74" s="50">
        <v>0</v>
      </c>
      <c r="AW74" s="50">
        <v>0</v>
      </c>
      <c r="AX74" s="50">
        <v>0</v>
      </c>
      <c r="AY74" s="50">
        <v>0</v>
      </c>
      <c r="AZ74" s="50">
        <v>0</v>
      </c>
      <c r="BA74" s="50">
        <v>0</v>
      </c>
      <c r="BB74" s="50">
        <v>0</v>
      </c>
      <c r="BC74" s="50">
        <v>0</v>
      </c>
      <c r="BD74" s="50">
        <v>0</v>
      </c>
      <c r="BE74" s="50">
        <v>0</v>
      </c>
      <c r="BF74" s="50">
        <v>0</v>
      </c>
      <c r="BG74" s="41">
        <f t="shared" si="10"/>
        <v>36.36951227762475</v>
      </c>
      <c r="BH74" s="41">
        <f t="shared" si="11"/>
        <v>178.92112491664193</v>
      </c>
      <c r="BI74" s="42">
        <f t="shared" si="12"/>
        <v>-1.5932142169149286</v>
      </c>
      <c r="BJ74" s="42">
        <f t="shared" si="13"/>
        <v>-0.72215595438284452</v>
      </c>
      <c r="BK74" s="42">
        <f t="shared" si="14"/>
        <v>0.74804000699260065</v>
      </c>
      <c r="BL74" s="42">
        <f t="shared" si="15"/>
        <v>-1.1644541126002907</v>
      </c>
      <c r="BM74" s="42">
        <f t="shared" si="16"/>
        <v>38.355458873997094</v>
      </c>
      <c r="BN74" s="39" t="str">
        <f t="shared" si="17"/>
        <v>NC</v>
      </c>
    </row>
    <row r="75" spans="1:66" s="29" customFormat="1" x14ac:dyDescent="0.45">
      <c r="A75" s="38">
        <v>74</v>
      </c>
      <c r="B75" s="36" t="s">
        <v>474</v>
      </c>
      <c r="C75" s="39">
        <f t="shared" si="9"/>
        <v>19</v>
      </c>
      <c r="D75" s="47">
        <v>1</v>
      </c>
      <c r="E75" s="47">
        <v>1</v>
      </c>
      <c r="F75" s="47">
        <v>0</v>
      </c>
      <c r="G75" s="47">
        <v>1</v>
      </c>
      <c r="H75" s="47">
        <v>0</v>
      </c>
      <c r="I75" s="47">
        <v>1</v>
      </c>
      <c r="J75" s="47">
        <v>1</v>
      </c>
      <c r="K75" s="47">
        <v>1</v>
      </c>
      <c r="L75" s="47">
        <v>0</v>
      </c>
      <c r="M75" s="47">
        <v>0</v>
      </c>
      <c r="N75" s="47">
        <v>0</v>
      </c>
      <c r="O75" s="47">
        <v>0</v>
      </c>
      <c r="P75" s="47">
        <v>1</v>
      </c>
      <c r="Q75" s="47">
        <v>1</v>
      </c>
      <c r="R75" s="54">
        <v>0</v>
      </c>
      <c r="S75" s="47">
        <v>0</v>
      </c>
      <c r="T75" s="47">
        <v>0</v>
      </c>
      <c r="U75" s="47">
        <v>1</v>
      </c>
      <c r="V75" s="47">
        <v>0</v>
      </c>
      <c r="W75" s="47">
        <v>1</v>
      </c>
      <c r="X75" s="47">
        <v>0</v>
      </c>
      <c r="Y75" s="47">
        <v>1</v>
      </c>
      <c r="Z75" s="47">
        <v>1</v>
      </c>
      <c r="AA75" s="47">
        <v>1</v>
      </c>
      <c r="AB75" s="47">
        <v>1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0</v>
      </c>
      <c r="AJ75" s="47">
        <v>1</v>
      </c>
      <c r="AK75" s="47">
        <v>1</v>
      </c>
      <c r="AL75" s="47">
        <v>1</v>
      </c>
      <c r="AM75" s="47">
        <v>1</v>
      </c>
      <c r="AN75" s="47">
        <v>0</v>
      </c>
      <c r="AO75" s="47">
        <v>0</v>
      </c>
      <c r="AP75" s="47">
        <v>0</v>
      </c>
      <c r="AQ75" s="47">
        <v>1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1">
        <f t="shared" si="10"/>
        <v>55.866769893729256</v>
      </c>
      <c r="BH75" s="41">
        <f t="shared" si="11"/>
        <v>159.42386730053744</v>
      </c>
      <c r="BI75" s="42">
        <f t="shared" si="12"/>
        <v>-1.0485967401532525</v>
      </c>
      <c r="BJ75" s="42">
        <f t="shared" si="13"/>
        <v>-0.72215595438284452</v>
      </c>
      <c r="BK75" s="42">
        <f t="shared" si="14"/>
        <v>0.74804000699260065</v>
      </c>
      <c r="BL75" s="42">
        <f t="shared" si="15"/>
        <v>-0.43639482209356895</v>
      </c>
      <c r="BM75" s="42">
        <f t="shared" si="16"/>
        <v>45.63605177906431</v>
      </c>
      <c r="BN75" s="39" t="str">
        <f t="shared" si="17"/>
        <v>C</v>
      </c>
    </row>
    <row r="76" spans="1:66" s="29" customFormat="1" x14ac:dyDescent="0.45">
      <c r="A76" s="38">
        <v>75</v>
      </c>
      <c r="B76" s="36" t="s">
        <v>475</v>
      </c>
      <c r="C76" s="39">
        <f t="shared" si="9"/>
        <v>22</v>
      </c>
      <c r="D76" s="47">
        <v>0</v>
      </c>
      <c r="E76" s="47">
        <v>1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1</v>
      </c>
      <c r="M76" s="47">
        <v>1</v>
      </c>
      <c r="N76" s="47">
        <v>1</v>
      </c>
      <c r="O76" s="47">
        <v>1</v>
      </c>
      <c r="P76" s="47">
        <v>1</v>
      </c>
      <c r="Q76" s="47">
        <v>0</v>
      </c>
      <c r="R76" s="54">
        <v>0</v>
      </c>
      <c r="S76" s="47">
        <v>0</v>
      </c>
      <c r="T76" s="47">
        <v>1</v>
      </c>
      <c r="U76" s="47">
        <v>1</v>
      </c>
      <c r="V76" s="47">
        <v>1</v>
      </c>
      <c r="W76" s="47">
        <v>1</v>
      </c>
      <c r="X76" s="47">
        <v>1</v>
      </c>
      <c r="Y76" s="47">
        <v>1</v>
      </c>
      <c r="Z76" s="47">
        <v>0</v>
      </c>
      <c r="AA76" s="47">
        <v>1</v>
      </c>
      <c r="AB76" s="47">
        <v>0</v>
      </c>
      <c r="AC76" s="47">
        <v>0</v>
      </c>
      <c r="AD76" s="47">
        <v>1</v>
      </c>
      <c r="AE76" s="47">
        <v>1</v>
      </c>
      <c r="AF76" s="47">
        <v>0</v>
      </c>
      <c r="AG76" s="47">
        <v>1</v>
      </c>
      <c r="AH76" s="47">
        <v>1</v>
      </c>
      <c r="AI76" s="47">
        <v>0</v>
      </c>
      <c r="AJ76" s="47">
        <v>1</v>
      </c>
      <c r="AK76" s="47">
        <v>1</v>
      </c>
      <c r="AL76" s="47">
        <v>1</v>
      </c>
      <c r="AM76" s="50">
        <v>0</v>
      </c>
      <c r="AN76" s="50">
        <v>0</v>
      </c>
      <c r="AO76" s="50">
        <v>0</v>
      </c>
      <c r="AP76" s="50">
        <v>1</v>
      </c>
      <c r="AQ76" s="50">
        <v>0</v>
      </c>
      <c r="AR76" s="50">
        <v>0</v>
      </c>
      <c r="AS76" s="50">
        <v>0</v>
      </c>
      <c r="AT76" s="50">
        <v>0</v>
      </c>
      <c r="AU76" s="50">
        <v>1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41">
        <f t="shared" si="10"/>
        <v>70.570102404665477</v>
      </c>
      <c r="BH76" s="41">
        <f t="shared" si="11"/>
        <v>144.7205347896012</v>
      </c>
      <c r="BI76" s="42">
        <f t="shared" si="12"/>
        <v>-0.71819796030087069</v>
      </c>
      <c r="BJ76" s="42">
        <f t="shared" si="13"/>
        <v>-0.72215595438284452</v>
      </c>
      <c r="BK76" s="42">
        <f t="shared" si="14"/>
        <v>0.74804000699260065</v>
      </c>
      <c r="BL76" s="42">
        <f t="shared" si="15"/>
        <v>5.2911529396488391E-3</v>
      </c>
      <c r="BM76" s="42">
        <f t="shared" si="16"/>
        <v>50.052911529396489</v>
      </c>
      <c r="BN76" s="39" t="str">
        <f t="shared" si="17"/>
        <v>C+</v>
      </c>
    </row>
    <row r="77" spans="1:66" s="29" customFormat="1" x14ac:dyDescent="0.45">
      <c r="A77" s="38">
        <v>76</v>
      </c>
      <c r="B77" s="35" t="s">
        <v>517</v>
      </c>
      <c r="C77" s="39">
        <f t="shared" si="9"/>
        <v>13</v>
      </c>
      <c r="D77" s="47">
        <v>1</v>
      </c>
      <c r="E77" s="47">
        <v>1</v>
      </c>
      <c r="F77" s="47">
        <v>1</v>
      </c>
      <c r="G77" s="47">
        <v>0</v>
      </c>
      <c r="H77" s="47">
        <v>1</v>
      </c>
      <c r="I77" s="47">
        <v>1</v>
      </c>
      <c r="J77" s="47">
        <v>0</v>
      </c>
      <c r="K77" s="47">
        <v>1</v>
      </c>
      <c r="L77" s="47">
        <v>0</v>
      </c>
      <c r="M77" s="47">
        <v>1</v>
      </c>
      <c r="N77" s="47">
        <v>0</v>
      </c>
      <c r="O77" s="47">
        <v>0</v>
      </c>
      <c r="P77" s="47">
        <v>0</v>
      </c>
      <c r="Q77" s="47">
        <v>1</v>
      </c>
      <c r="R77" s="54">
        <v>0</v>
      </c>
      <c r="S77" s="47">
        <v>0</v>
      </c>
      <c r="T77" s="47">
        <v>0</v>
      </c>
      <c r="U77" s="47">
        <v>0</v>
      </c>
      <c r="V77" s="47">
        <v>1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1</v>
      </c>
      <c r="AC77" s="47">
        <v>1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1</v>
      </c>
      <c r="AK77" s="47">
        <v>1</v>
      </c>
      <c r="AL77" s="47">
        <v>0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0</v>
      </c>
      <c r="BC77" s="47">
        <v>0</v>
      </c>
      <c r="BD77" s="47">
        <v>0</v>
      </c>
      <c r="BE77" s="47">
        <v>0</v>
      </c>
      <c r="BF77" s="47">
        <v>0</v>
      </c>
      <c r="BG77" s="41">
        <f t="shared" si="10"/>
        <v>35.183216117323603</v>
      </c>
      <c r="BH77" s="41">
        <f t="shared" si="11"/>
        <v>180.10742107694307</v>
      </c>
      <c r="BI77" s="42">
        <f t="shared" si="12"/>
        <v>-1.6329843026034512</v>
      </c>
      <c r="BJ77" s="42">
        <f t="shared" si="13"/>
        <v>-0.72215595438284452</v>
      </c>
      <c r="BK77" s="42">
        <f t="shared" si="14"/>
        <v>0.74804000699260065</v>
      </c>
      <c r="BL77" s="42">
        <f t="shared" si="15"/>
        <v>-1.2176198327713457</v>
      </c>
      <c r="BM77" s="42">
        <f t="shared" si="16"/>
        <v>37.823801672286542</v>
      </c>
      <c r="BN77" s="39" t="str">
        <f t="shared" si="17"/>
        <v>NC</v>
      </c>
    </row>
    <row r="78" spans="1:66" x14ac:dyDescent="0.45">
      <c r="A78" s="38">
        <v>77</v>
      </c>
      <c r="B78" s="35" t="s">
        <v>43</v>
      </c>
      <c r="C78" s="39">
        <f t="shared" si="9"/>
        <v>10</v>
      </c>
      <c r="D78" s="47">
        <v>0</v>
      </c>
      <c r="E78" s="47">
        <v>1</v>
      </c>
      <c r="F78" s="47">
        <v>0</v>
      </c>
      <c r="G78" s="47">
        <v>0</v>
      </c>
      <c r="H78" s="47">
        <v>0</v>
      </c>
      <c r="I78" s="47">
        <v>1</v>
      </c>
      <c r="J78" s="47">
        <v>1</v>
      </c>
      <c r="K78" s="47">
        <v>0</v>
      </c>
      <c r="L78" s="47">
        <v>0</v>
      </c>
      <c r="M78" s="47">
        <v>1</v>
      </c>
      <c r="N78" s="47">
        <v>0</v>
      </c>
      <c r="O78" s="47">
        <v>1</v>
      </c>
      <c r="P78" s="47">
        <v>1</v>
      </c>
      <c r="Q78" s="47">
        <v>0</v>
      </c>
      <c r="R78" s="54">
        <v>0</v>
      </c>
      <c r="S78" s="47">
        <v>0</v>
      </c>
      <c r="T78" s="47">
        <v>1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1</v>
      </c>
      <c r="AF78" s="47">
        <v>0</v>
      </c>
      <c r="AG78" s="47">
        <v>0</v>
      </c>
      <c r="AH78" s="47">
        <v>1</v>
      </c>
      <c r="AI78" s="47">
        <v>0</v>
      </c>
      <c r="AJ78" s="47">
        <v>0</v>
      </c>
      <c r="AK78" s="47">
        <v>0</v>
      </c>
      <c r="AL78" s="47">
        <v>0</v>
      </c>
      <c r="AM78" s="47">
        <v>1</v>
      </c>
      <c r="AN78" s="47">
        <v>0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</v>
      </c>
      <c r="BF78" s="47">
        <v>0</v>
      </c>
      <c r="BG78" s="41">
        <f t="shared" si="10"/>
        <v>25.687939017688826</v>
      </c>
      <c r="BH78" s="41">
        <f t="shared" si="11"/>
        <v>189.60269817657786</v>
      </c>
      <c r="BI78" s="42">
        <f t="shared" si="12"/>
        <v>-1.9989092377854314</v>
      </c>
      <c r="BJ78" s="42">
        <f t="shared" si="13"/>
        <v>-0.72215595438284452</v>
      </c>
      <c r="BK78" s="42">
        <f t="shared" si="14"/>
        <v>0.74804000699260065</v>
      </c>
      <c r="BL78" s="42">
        <f t="shared" si="15"/>
        <v>-1.7067981277306419</v>
      </c>
      <c r="BM78" s="42">
        <f t="shared" si="16"/>
        <v>32.932018722693584</v>
      </c>
      <c r="BN78" s="39" t="str">
        <f t="shared" si="17"/>
        <v>NC</v>
      </c>
    </row>
    <row r="79" spans="1:66" x14ac:dyDescent="0.45">
      <c r="A79" s="38">
        <v>78</v>
      </c>
      <c r="B79" s="35" t="s">
        <v>476</v>
      </c>
      <c r="C79" s="39">
        <f t="shared" si="9"/>
        <v>23</v>
      </c>
      <c r="D79" s="47">
        <v>1</v>
      </c>
      <c r="E79" s="47">
        <v>1</v>
      </c>
      <c r="F79" s="47">
        <v>1</v>
      </c>
      <c r="G79" s="47">
        <v>0</v>
      </c>
      <c r="H79" s="47">
        <v>0</v>
      </c>
      <c r="I79" s="47">
        <v>1</v>
      </c>
      <c r="J79" s="47">
        <v>1</v>
      </c>
      <c r="K79" s="47">
        <v>0</v>
      </c>
      <c r="L79" s="47">
        <v>1</v>
      </c>
      <c r="M79" s="47">
        <v>1</v>
      </c>
      <c r="N79" s="47">
        <v>1</v>
      </c>
      <c r="O79" s="47">
        <v>0</v>
      </c>
      <c r="P79" s="47">
        <v>1</v>
      </c>
      <c r="Q79" s="47">
        <v>1</v>
      </c>
      <c r="R79" s="54">
        <v>0</v>
      </c>
      <c r="S79" s="47">
        <v>0</v>
      </c>
      <c r="T79" s="47">
        <v>1</v>
      </c>
      <c r="U79" s="47">
        <v>1</v>
      </c>
      <c r="V79" s="47">
        <v>0</v>
      </c>
      <c r="W79" s="47">
        <v>1</v>
      </c>
      <c r="X79" s="47">
        <v>1</v>
      </c>
      <c r="Y79" s="47">
        <v>0</v>
      </c>
      <c r="Z79" s="47">
        <v>1</v>
      </c>
      <c r="AA79" s="47">
        <v>0</v>
      </c>
      <c r="AB79" s="47">
        <v>0</v>
      </c>
      <c r="AC79" s="47">
        <v>1</v>
      </c>
      <c r="AD79" s="47">
        <v>0</v>
      </c>
      <c r="AE79" s="47">
        <v>0</v>
      </c>
      <c r="AF79" s="47">
        <v>1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1</v>
      </c>
      <c r="AM79" s="50">
        <v>0</v>
      </c>
      <c r="AN79" s="50">
        <v>0</v>
      </c>
      <c r="AO79" s="50">
        <v>0</v>
      </c>
      <c r="AP79" s="50">
        <v>1</v>
      </c>
      <c r="AQ79" s="50">
        <v>1</v>
      </c>
      <c r="AR79" s="50">
        <v>0</v>
      </c>
      <c r="AS79" s="50">
        <v>0</v>
      </c>
      <c r="AT79" s="50">
        <v>1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1</v>
      </c>
      <c r="BB79" s="50">
        <v>1</v>
      </c>
      <c r="BC79" s="50">
        <v>0</v>
      </c>
      <c r="BD79" s="50">
        <v>0</v>
      </c>
      <c r="BE79" s="50">
        <v>0</v>
      </c>
      <c r="BF79" s="50">
        <v>0</v>
      </c>
      <c r="BG79" s="41">
        <f t="shared" si="10"/>
        <v>73.817369963391386</v>
      </c>
      <c r="BH79" s="41">
        <f t="shared" si="11"/>
        <v>141.47326723087531</v>
      </c>
      <c r="BI79" s="42">
        <f t="shared" si="12"/>
        <v>-0.6505167058014959</v>
      </c>
      <c r="BJ79" s="42">
        <f t="shared" si="13"/>
        <v>-0.72215595438284452</v>
      </c>
      <c r="BK79" s="42">
        <f t="shared" si="14"/>
        <v>0.74804000699260065</v>
      </c>
      <c r="BL79" s="42">
        <f t="shared" si="15"/>
        <v>9.576927425227573E-2</v>
      </c>
      <c r="BM79" s="42">
        <f t="shared" si="16"/>
        <v>50.957692742522759</v>
      </c>
      <c r="BN79" s="39" t="str">
        <f t="shared" si="17"/>
        <v>C+</v>
      </c>
    </row>
    <row r="80" spans="1:66" x14ac:dyDescent="0.45">
      <c r="A80" s="38">
        <v>79</v>
      </c>
      <c r="B80" s="35" t="s">
        <v>22</v>
      </c>
      <c r="C80" s="39">
        <f t="shared" si="9"/>
        <v>23</v>
      </c>
      <c r="D80" s="47">
        <v>1</v>
      </c>
      <c r="E80" s="47">
        <v>1</v>
      </c>
      <c r="F80" s="47">
        <v>0</v>
      </c>
      <c r="G80" s="47">
        <v>0</v>
      </c>
      <c r="H80" s="47">
        <v>1</v>
      </c>
      <c r="I80" s="47">
        <v>1</v>
      </c>
      <c r="J80" s="47">
        <v>1</v>
      </c>
      <c r="K80" s="47">
        <v>0</v>
      </c>
      <c r="L80" s="47">
        <v>0</v>
      </c>
      <c r="M80" s="47">
        <v>1</v>
      </c>
      <c r="N80" s="47">
        <v>0</v>
      </c>
      <c r="O80" s="47">
        <v>1</v>
      </c>
      <c r="P80" s="47">
        <v>0</v>
      </c>
      <c r="Q80" s="47">
        <v>1</v>
      </c>
      <c r="R80" s="54">
        <v>0</v>
      </c>
      <c r="S80" s="47">
        <v>1</v>
      </c>
      <c r="T80" s="47">
        <v>1</v>
      </c>
      <c r="U80" s="47">
        <v>1</v>
      </c>
      <c r="V80" s="47">
        <v>1</v>
      </c>
      <c r="W80" s="47">
        <v>1</v>
      </c>
      <c r="X80" s="47">
        <v>0</v>
      </c>
      <c r="Y80" s="47">
        <v>1</v>
      </c>
      <c r="Z80" s="47">
        <v>1</v>
      </c>
      <c r="AA80" s="47">
        <v>1</v>
      </c>
      <c r="AB80" s="47">
        <v>1</v>
      </c>
      <c r="AC80" s="47">
        <v>1</v>
      </c>
      <c r="AD80" s="47">
        <v>0</v>
      </c>
      <c r="AE80" s="47">
        <v>1</v>
      </c>
      <c r="AF80" s="47">
        <v>0</v>
      </c>
      <c r="AG80" s="47">
        <v>1</v>
      </c>
      <c r="AH80" s="47">
        <v>1</v>
      </c>
      <c r="AI80" s="47">
        <v>0</v>
      </c>
      <c r="AJ80" s="47">
        <v>1</v>
      </c>
      <c r="AK80" s="47">
        <v>0</v>
      </c>
      <c r="AL80" s="47">
        <v>0</v>
      </c>
      <c r="AM80" s="50">
        <v>0</v>
      </c>
      <c r="AN80" s="50">
        <v>0</v>
      </c>
      <c r="AO80" s="50">
        <v>0</v>
      </c>
      <c r="AP80" s="50">
        <v>0</v>
      </c>
      <c r="AQ80" s="50">
        <v>0</v>
      </c>
      <c r="AR80" s="50">
        <v>0</v>
      </c>
      <c r="AS80" s="50">
        <v>0</v>
      </c>
      <c r="AT80" s="50">
        <v>0</v>
      </c>
      <c r="AU80" s="50">
        <v>0</v>
      </c>
      <c r="AV80" s="50">
        <v>0</v>
      </c>
      <c r="AW80" s="50">
        <v>0</v>
      </c>
      <c r="AX80" s="50">
        <v>0</v>
      </c>
      <c r="AY80" s="50">
        <v>0</v>
      </c>
      <c r="AZ80" s="50">
        <v>1</v>
      </c>
      <c r="BA80" s="50">
        <v>0</v>
      </c>
      <c r="BB80" s="50">
        <v>0</v>
      </c>
      <c r="BC80" s="50">
        <v>0</v>
      </c>
      <c r="BD80" s="50">
        <v>0</v>
      </c>
      <c r="BE80" s="50">
        <v>0</v>
      </c>
      <c r="BF80" s="50">
        <v>0</v>
      </c>
      <c r="BG80" s="41">
        <f t="shared" si="10"/>
        <v>68.05430374025741</v>
      </c>
      <c r="BH80" s="41">
        <f t="shared" si="11"/>
        <v>147.23633345400927</v>
      </c>
      <c r="BI80" s="42">
        <f t="shared" si="12"/>
        <v>-0.77173303547430361</v>
      </c>
      <c r="BJ80" s="42">
        <f t="shared" si="13"/>
        <v>-0.72215595438284452</v>
      </c>
      <c r="BK80" s="42">
        <f t="shared" si="14"/>
        <v>0.74804000699260065</v>
      </c>
      <c r="BL80" s="42">
        <f t="shared" si="15"/>
        <v>-6.6275975386366578E-2</v>
      </c>
      <c r="BM80" s="42">
        <f t="shared" si="16"/>
        <v>49.337240246136332</v>
      </c>
      <c r="BN80" s="39" t="str">
        <f t="shared" si="17"/>
        <v>C</v>
      </c>
    </row>
    <row r="81" spans="1:66" s="29" customFormat="1" x14ac:dyDescent="0.45">
      <c r="A81" s="38">
        <v>80</v>
      </c>
      <c r="B81" s="36" t="s">
        <v>40</v>
      </c>
      <c r="C81" s="39">
        <f t="shared" si="9"/>
        <v>26</v>
      </c>
      <c r="D81" s="47">
        <v>1</v>
      </c>
      <c r="E81" s="47">
        <v>1</v>
      </c>
      <c r="F81" s="47">
        <v>0</v>
      </c>
      <c r="G81" s="47">
        <v>1</v>
      </c>
      <c r="H81" s="47">
        <v>1</v>
      </c>
      <c r="I81" s="47">
        <v>0</v>
      </c>
      <c r="J81" s="47">
        <v>1</v>
      </c>
      <c r="K81" s="47">
        <v>0</v>
      </c>
      <c r="L81" s="47">
        <v>1</v>
      </c>
      <c r="M81" s="47">
        <v>1</v>
      </c>
      <c r="N81" s="47">
        <v>1</v>
      </c>
      <c r="O81" s="47">
        <v>1</v>
      </c>
      <c r="P81" s="47">
        <v>1</v>
      </c>
      <c r="Q81" s="47">
        <v>1</v>
      </c>
      <c r="R81" s="54">
        <v>0</v>
      </c>
      <c r="S81" s="47">
        <v>0</v>
      </c>
      <c r="T81" s="47">
        <v>1</v>
      </c>
      <c r="U81" s="47">
        <v>1</v>
      </c>
      <c r="V81" s="47">
        <v>1</v>
      </c>
      <c r="W81" s="47">
        <v>1</v>
      </c>
      <c r="X81" s="47">
        <v>1</v>
      </c>
      <c r="Y81" s="47">
        <v>1</v>
      </c>
      <c r="Z81" s="47">
        <v>0</v>
      </c>
      <c r="AA81" s="47">
        <v>0</v>
      </c>
      <c r="AB81" s="47">
        <v>0</v>
      </c>
      <c r="AC81" s="47">
        <v>1</v>
      </c>
      <c r="AD81" s="47">
        <v>0</v>
      </c>
      <c r="AE81" s="47">
        <v>1</v>
      </c>
      <c r="AF81" s="47">
        <v>0</v>
      </c>
      <c r="AG81" s="47">
        <v>0</v>
      </c>
      <c r="AH81" s="47">
        <v>0</v>
      </c>
      <c r="AI81" s="47">
        <v>0</v>
      </c>
      <c r="AJ81" s="47">
        <v>1</v>
      </c>
      <c r="AK81" s="47">
        <v>1</v>
      </c>
      <c r="AL81" s="47">
        <v>1</v>
      </c>
      <c r="AM81" s="47">
        <v>1</v>
      </c>
      <c r="AN81" s="47">
        <v>0</v>
      </c>
      <c r="AO81" s="47">
        <v>0</v>
      </c>
      <c r="AP81" s="47">
        <v>0</v>
      </c>
      <c r="AQ81" s="47">
        <v>1</v>
      </c>
      <c r="AR81" s="47">
        <v>0</v>
      </c>
      <c r="AS81" s="47">
        <v>0</v>
      </c>
      <c r="AT81" s="47">
        <v>1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1</v>
      </c>
      <c r="BE81" s="47">
        <v>0</v>
      </c>
      <c r="BF81" s="47">
        <v>0</v>
      </c>
      <c r="BG81" s="41">
        <f t="shared" si="10"/>
        <v>79.865697262842431</v>
      </c>
      <c r="BH81" s="41">
        <f t="shared" si="11"/>
        <v>135.42493993142426</v>
      </c>
      <c r="BI81" s="42">
        <f t="shared" si="12"/>
        <v>-0.52807109826574228</v>
      </c>
      <c r="BJ81" s="42">
        <f t="shared" si="13"/>
        <v>-0.72215595438284452</v>
      </c>
      <c r="BK81" s="42">
        <f t="shared" si="14"/>
        <v>0.74804000699260065</v>
      </c>
      <c r="BL81" s="42">
        <f t="shared" si="15"/>
        <v>0.2594578555997234</v>
      </c>
      <c r="BM81" s="42">
        <f t="shared" si="16"/>
        <v>52.594578555997231</v>
      </c>
      <c r="BN81" s="39" t="str">
        <f t="shared" si="17"/>
        <v>C+</v>
      </c>
    </row>
    <row r="82" spans="1:66" s="29" customFormat="1" x14ac:dyDescent="0.45">
      <c r="A82" s="38">
        <v>81</v>
      </c>
      <c r="B82" s="35" t="s">
        <v>453</v>
      </c>
      <c r="C82" s="39">
        <f t="shared" si="9"/>
        <v>40</v>
      </c>
      <c r="D82" s="47">
        <v>1</v>
      </c>
      <c r="E82" s="47">
        <v>1</v>
      </c>
      <c r="F82" s="47">
        <v>1</v>
      </c>
      <c r="G82" s="47">
        <v>1</v>
      </c>
      <c r="H82" s="47">
        <v>1</v>
      </c>
      <c r="I82" s="47">
        <v>1</v>
      </c>
      <c r="J82" s="47">
        <v>1</v>
      </c>
      <c r="K82" s="47">
        <v>1</v>
      </c>
      <c r="L82" s="47">
        <v>1</v>
      </c>
      <c r="M82" s="47">
        <v>0</v>
      </c>
      <c r="N82" s="47">
        <v>1</v>
      </c>
      <c r="O82" s="47">
        <v>1</v>
      </c>
      <c r="P82" s="47">
        <v>1</v>
      </c>
      <c r="Q82" s="47">
        <v>1</v>
      </c>
      <c r="R82" s="54">
        <v>1</v>
      </c>
      <c r="S82" s="47">
        <v>1</v>
      </c>
      <c r="T82" s="47">
        <v>1</v>
      </c>
      <c r="U82" s="47">
        <v>1</v>
      </c>
      <c r="V82" s="47">
        <v>1</v>
      </c>
      <c r="W82" s="47">
        <v>1</v>
      </c>
      <c r="X82" s="47">
        <v>1</v>
      </c>
      <c r="Y82" s="47">
        <v>1</v>
      </c>
      <c r="Z82" s="47">
        <v>1</v>
      </c>
      <c r="AA82" s="47">
        <v>0</v>
      </c>
      <c r="AB82" s="47">
        <v>1</v>
      </c>
      <c r="AC82" s="47">
        <v>1</v>
      </c>
      <c r="AD82" s="47">
        <v>0</v>
      </c>
      <c r="AE82" s="47">
        <v>1</v>
      </c>
      <c r="AF82" s="47">
        <v>1</v>
      </c>
      <c r="AG82" s="47">
        <v>1</v>
      </c>
      <c r="AH82" s="47">
        <v>1</v>
      </c>
      <c r="AI82" s="47">
        <v>1</v>
      </c>
      <c r="AJ82" s="47">
        <v>1</v>
      </c>
      <c r="AK82" s="47">
        <v>1</v>
      </c>
      <c r="AL82" s="47">
        <v>1</v>
      </c>
      <c r="AM82" s="50">
        <v>1</v>
      </c>
      <c r="AN82" s="50">
        <v>0</v>
      </c>
      <c r="AO82" s="50">
        <v>0</v>
      </c>
      <c r="AP82" s="50">
        <v>0</v>
      </c>
      <c r="AQ82" s="50">
        <v>1</v>
      </c>
      <c r="AR82" s="50">
        <v>1</v>
      </c>
      <c r="AS82" s="50">
        <v>0</v>
      </c>
      <c r="AT82" s="50">
        <v>1</v>
      </c>
      <c r="AU82" s="50">
        <v>1</v>
      </c>
      <c r="AV82" s="50">
        <v>1</v>
      </c>
      <c r="AW82" s="50">
        <v>1</v>
      </c>
      <c r="AX82" s="50">
        <v>1</v>
      </c>
      <c r="AY82" s="50">
        <v>0</v>
      </c>
      <c r="AZ82" s="50">
        <v>0</v>
      </c>
      <c r="BA82" s="50">
        <v>0</v>
      </c>
      <c r="BB82" s="50">
        <v>0</v>
      </c>
      <c r="BC82" s="50">
        <v>0</v>
      </c>
      <c r="BD82" s="50">
        <v>0</v>
      </c>
      <c r="BE82" s="50">
        <v>0</v>
      </c>
      <c r="BF82" s="50">
        <v>0</v>
      </c>
      <c r="BG82" s="41">
        <f t="shared" si="10"/>
        <v>135.94863227473721</v>
      </c>
      <c r="BH82" s="41">
        <f t="shared" si="11"/>
        <v>79.342004919529472</v>
      </c>
      <c r="BI82" s="42">
        <f t="shared" si="12"/>
        <v>0.53850942578746963</v>
      </c>
      <c r="BJ82" s="42">
        <f t="shared" si="13"/>
        <v>-0.72215595438284452</v>
      </c>
      <c r="BK82" s="42">
        <f t="shared" si="14"/>
        <v>0.74804000699260065</v>
      </c>
      <c r="BL82" s="42">
        <f t="shared" si="15"/>
        <v>1.6852913860030809</v>
      </c>
      <c r="BM82" s="42">
        <f t="shared" si="16"/>
        <v>66.85291386003081</v>
      </c>
      <c r="BN82" s="39" t="str">
        <f t="shared" si="17"/>
        <v>A</v>
      </c>
    </row>
    <row r="83" spans="1:66" s="32" customFormat="1" x14ac:dyDescent="0.45">
      <c r="A83" s="38">
        <v>82</v>
      </c>
      <c r="B83" s="35" t="s">
        <v>41</v>
      </c>
      <c r="C83" s="39">
        <f t="shared" si="9"/>
        <v>17</v>
      </c>
      <c r="D83" s="47">
        <v>0</v>
      </c>
      <c r="E83" s="47">
        <v>1</v>
      </c>
      <c r="F83" s="47">
        <v>0</v>
      </c>
      <c r="G83" s="47">
        <v>0</v>
      </c>
      <c r="H83" s="47">
        <v>1</v>
      </c>
      <c r="I83" s="47">
        <v>0</v>
      </c>
      <c r="J83" s="47">
        <v>1</v>
      </c>
      <c r="K83" s="47">
        <v>1</v>
      </c>
      <c r="L83" s="47">
        <v>1</v>
      </c>
      <c r="M83" s="47">
        <v>1</v>
      </c>
      <c r="N83" s="47">
        <v>0</v>
      </c>
      <c r="O83" s="47">
        <v>0</v>
      </c>
      <c r="P83" s="47">
        <v>0</v>
      </c>
      <c r="Q83" s="47">
        <v>0</v>
      </c>
      <c r="R83" s="54">
        <v>1</v>
      </c>
      <c r="S83" s="47">
        <v>1</v>
      </c>
      <c r="T83" s="47">
        <v>1</v>
      </c>
      <c r="U83" s="47">
        <v>1</v>
      </c>
      <c r="V83" s="47">
        <v>0</v>
      </c>
      <c r="W83" s="47">
        <v>0</v>
      </c>
      <c r="X83" s="47">
        <v>0</v>
      </c>
      <c r="Y83" s="47">
        <v>1</v>
      </c>
      <c r="Z83" s="47">
        <v>1</v>
      </c>
      <c r="AA83" s="47">
        <v>0</v>
      </c>
      <c r="AB83" s="47">
        <v>0</v>
      </c>
      <c r="AC83" s="47">
        <v>0</v>
      </c>
      <c r="AD83" s="47">
        <v>0</v>
      </c>
      <c r="AE83" s="47">
        <v>1</v>
      </c>
      <c r="AF83" s="47">
        <v>0</v>
      </c>
      <c r="AG83" s="47">
        <v>1</v>
      </c>
      <c r="AH83" s="47">
        <v>0</v>
      </c>
      <c r="AI83" s="47">
        <v>0</v>
      </c>
      <c r="AJ83" s="47">
        <v>1</v>
      </c>
      <c r="AK83" s="47">
        <v>0</v>
      </c>
      <c r="AL83" s="47">
        <v>1</v>
      </c>
      <c r="AM83" s="50">
        <v>1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41">
        <f t="shared" si="10"/>
        <v>50.558028706569054</v>
      </c>
      <c r="BH83" s="41">
        <f t="shared" si="11"/>
        <v>164.73260848769763</v>
      </c>
      <c r="BI83" s="42">
        <f t="shared" si="12"/>
        <v>-1.1812018448727601</v>
      </c>
      <c r="BJ83" s="42">
        <f t="shared" si="13"/>
        <v>-0.72215595438284452</v>
      </c>
      <c r="BK83" s="42">
        <f t="shared" si="14"/>
        <v>0.74804000699260065</v>
      </c>
      <c r="BL83" s="42">
        <f t="shared" si="15"/>
        <v>-0.61366489251751521</v>
      </c>
      <c r="BM83" s="42">
        <f t="shared" si="16"/>
        <v>43.863351074824848</v>
      </c>
      <c r="BN83" s="39" t="str">
        <f t="shared" si="17"/>
        <v>NC</v>
      </c>
    </row>
    <row r="84" spans="1:66" x14ac:dyDescent="0.45">
      <c r="A84" s="38">
        <v>83</v>
      </c>
      <c r="B84" s="35" t="s">
        <v>48</v>
      </c>
      <c r="C84" s="39">
        <f t="shared" si="9"/>
        <v>24</v>
      </c>
      <c r="D84" s="47">
        <v>1</v>
      </c>
      <c r="E84" s="47">
        <v>1</v>
      </c>
      <c r="F84" s="47">
        <v>1</v>
      </c>
      <c r="G84" s="47">
        <v>0</v>
      </c>
      <c r="H84" s="47">
        <v>0</v>
      </c>
      <c r="I84" s="47">
        <v>0</v>
      </c>
      <c r="J84" s="47">
        <v>1</v>
      </c>
      <c r="K84" s="47">
        <v>0</v>
      </c>
      <c r="L84" s="47">
        <v>1</v>
      </c>
      <c r="M84" s="47">
        <v>0</v>
      </c>
      <c r="N84" s="47">
        <v>1</v>
      </c>
      <c r="O84" s="47">
        <v>1</v>
      </c>
      <c r="P84" s="47">
        <v>1</v>
      </c>
      <c r="Q84" s="47">
        <v>0</v>
      </c>
      <c r="R84" s="54">
        <v>1</v>
      </c>
      <c r="S84" s="47">
        <v>1</v>
      </c>
      <c r="T84" s="47">
        <v>1</v>
      </c>
      <c r="U84" s="47">
        <v>0</v>
      </c>
      <c r="V84" s="47">
        <v>1</v>
      </c>
      <c r="W84" s="47">
        <v>1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1</v>
      </c>
      <c r="AD84" s="47">
        <v>0</v>
      </c>
      <c r="AE84" s="47">
        <v>0</v>
      </c>
      <c r="AF84" s="47">
        <v>0</v>
      </c>
      <c r="AG84" s="47">
        <v>0</v>
      </c>
      <c r="AH84" s="47">
        <v>1</v>
      </c>
      <c r="AI84" s="47">
        <v>0</v>
      </c>
      <c r="AJ84" s="47">
        <v>1</v>
      </c>
      <c r="AK84" s="47">
        <v>1</v>
      </c>
      <c r="AL84" s="47">
        <v>0</v>
      </c>
      <c r="AM84" s="50">
        <v>1</v>
      </c>
      <c r="AN84" s="50">
        <v>0</v>
      </c>
      <c r="AO84" s="50">
        <v>0</v>
      </c>
      <c r="AP84" s="50">
        <v>1</v>
      </c>
      <c r="AQ84" s="50">
        <v>0</v>
      </c>
      <c r="AR84" s="50">
        <v>1</v>
      </c>
      <c r="AS84" s="50">
        <v>1</v>
      </c>
      <c r="AT84" s="50">
        <v>0</v>
      </c>
      <c r="AU84" s="50">
        <v>0</v>
      </c>
      <c r="AV84" s="50">
        <v>0</v>
      </c>
      <c r="AW84" s="50">
        <v>1</v>
      </c>
      <c r="AX84" s="50">
        <v>1</v>
      </c>
      <c r="AY84" s="50">
        <v>0</v>
      </c>
      <c r="AZ84" s="50">
        <v>0</v>
      </c>
      <c r="BA84" s="50">
        <v>1</v>
      </c>
      <c r="BB84" s="50">
        <v>0</v>
      </c>
      <c r="BC84" s="50">
        <v>0</v>
      </c>
      <c r="BD84" s="50">
        <v>0</v>
      </c>
      <c r="BE84" s="50">
        <v>0</v>
      </c>
      <c r="BF84" s="50">
        <v>0</v>
      </c>
      <c r="BG84" s="41">
        <f t="shared" si="10"/>
        <v>82.361909661314826</v>
      </c>
      <c r="BH84" s="41">
        <f t="shared" si="11"/>
        <v>132.92872753295185</v>
      </c>
      <c r="BI84" s="42">
        <f t="shared" si="12"/>
        <v>-0.47869003272625943</v>
      </c>
      <c r="BJ84" s="42">
        <f t="shared" si="13"/>
        <v>-0.72215595438284452</v>
      </c>
      <c r="BK84" s="42">
        <f t="shared" si="14"/>
        <v>0.74804000699260065</v>
      </c>
      <c r="BL84" s="42">
        <f t="shared" si="15"/>
        <v>0.32547179212433935</v>
      </c>
      <c r="BM84" s="42">
        <f t="shared" si="16"/>
        <v>53.25471792124339</v>
      </c>
      <c r="BN84" s="39" t="str">
        <f t="shared" si="17"/>
        <v>C+</v>
      </c>
    </row>
    <row r="85" spans="1:66" x14ac:dyDescent="0.45">
      <c r="A85" s="38">
        <v>84</v>
      </c>
      <c r="B85" s="35" t="s">
        <v>477</v>
      </c>
      <c r="C85" s="39">
        <f t="shared" si="9"/>
        <v>18</v>
      </c>
      <c r="D85" s="47">
        <v>1</v>
      </c>
      <c r="E85" s="47">
        <v>1</v>
      </c>
      <c r="F85" s="47">
        <v>0</v>
      </c>
      <c r="G85" s="47">
        <v>1</v>
      </c>
      <c r="H85" s="47">
        <v>1</v>
      </c>
      <c r="I85" s="47">
        <v>0</v>
      </c>
      <c r="J85" s="47">
        <v>1</v>
      </c>
      <c r="K85" s="47">
        <v>1</v>
      </c>
      <c r="L85" s="47">
        <v>0</v>
      </c>
      <c r="M85" s="47">
        <v>1</v>
      </c>
      <c r="N85" s="47">
        <v>0</v>
      </c>
      <c r="O85" s="47">
        <v>0</v>
      </c>
      <c r="P85" s="47">
        <v>1</v>
      </c>
      <c r="Q85" s="47">
        <v>1</v>
      </c>
      <c r="R85" s="54">
        <v>1</v>
      </c>
      <c r="S85" s="47">
        <v>0</v>
      </c>
      <c r="T85" s="47">
        <v>1</v>
      </c>
      <c r="U85" s="47">
        <v>1</v>
      </c>
      <c r="V85" s="47">
        <v>0</v>
      </c>
      <c r="W85" s="47">
        <v>0</v>
      </c>
      <c r="X85" s="47">
        <v>1</v>
      </c>
      <c r="Y85" s="47">
        <v>1</v>
      </c>
      <c r="Z85" s="47">
        <v>0</v>
      </c>
      <c r="AA85" s="47">
        <v>1</v>
      </c>
      <c r="AB85" s="47">
        <v>0</v>
      </c>
      <c r="AC85" s="47">
        <v>1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1</v>
      </c>
      <c r="AL85" s="47">
        <v>0</v>
      </c>
      <c r="AM85" s="50">
        <v>1</v>
      </c>
      <c r="AN85" s="50">
        <v>0</v>
      </c>
      <c r="AO85" s="50">
        <v>0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0</v>
      </c>
      <c r="BG85" s="41">
        <f t="shared" si="10"/>
        <v>51.867393157201093</v>
      </c>
      <c r="BH85" s="41">
        <f t="shared" si="11"/>
        <v>163.42324403706559</v>
      </c>
      <c r="BI85" s="42">
        <f t="shared" si="12"/>
        <v>-1.1476530948128196</v>
      </c>
      <c r="BJ85" s="42">
        <f t="shared" si="13"/>
        <v>-0.72215595438284452</v>
      </c>
      <c r="BK85" s="42">
        <f t="shared" si="14"/>
        <v>0.74804000699260065</v>
      </c>
      <c r="BL85" s="42">
        <f t="shared" si="15"/>
        <v>-0.5688160211385378</v>
      </c>
      <c r="BM85" s="42">
        <f t="shared" si="16"/>
        <v>44.31183978861462</v>
      </c>
      <c r="BN85" s="39" t="str">
        <f t="shared" si="17"/>
        <v>NC</v>
      </c>
    </row>
    <row r="86" spans="1:66" x14ac:dyDescent="0.45">
      <c r="A86" s="38">
        <v>85</v>
      </c>
      <c r="B86" s="36" t="s">
        <v>454</v>
      </c>
      <c r="C86" s="39">
        <f t="shared" si="9"/>
        <v>17</v>
      </c>
      <c r="D86" s="47">
        <v>1</v>
      </c>
      <c r="E86" s="47">
        <v>1</v>
      </c>
      <c r="F86" s="47">
        <v>1</v>
      </c>
      <c r="G86" s="47">
        <v>0</v>
      </c>
      <c r="H86" s="47">
        <v>1</v>
      </c>
      <c r="I86" s="47">
        <v>1</v>
      </c>
      <c r="J86" s="47">
        <v>1</v>
      </c>
      <c r="K86" s="47">
        <v>1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54">
        <v>0</v>
      </c>
      <c r="S86" s="47">
        <v>0</v>
      </c>
      <c r="T86" s="47">
        <v>1</v>
      </c>
      <c r="U86" s="47">
        <v>0</v>
      </c>
      <c r="V86" s="47">
        <v>1</v>
      </c>
      <c r="W86" s="47">
        <v>1</v>
      </c>
      <c r="X86" s="47">
        <v>0</v>
      </c>
      <c r="Y86" s="47">
        <v>0</v>
      </c>
      <c r="Z86" s="47">
        <v>1</v>
      </c>
      <c r="AA86" s="47">
        <v>1</v>
      </c>
      <c r="AB86" s="47">
        <v>1</v>
      </c>
      <c r="AC86" s="47">
        <v>1</v>
      </c>
      <c r="AD86" s="47">
        <v>0</v>
      </c>
      <c r="AE86" s="47">
        <v>0</v>
      </c>
      <c r="AF86" s="47">
        <v>1</v>
      </c>
      <c r="AG86" s="47">
        <v>0</v>
      </c>
      <c r="AH86" s="47">
        <v>1</v>
      </c>
      <c r="AI86" s="47">
        <v>0</v>
      </c>
      <c r="AJ86" s="47">
        <v>1</v>
      </c>
      <c r="AK86" s="47">
        <v>0</v>
      </c>
      <c r="AL86" s="47">
        <v>0</v>
      </c>
      <c r="AM86" s="47">
        <v>0</v>
      </c>
      <c r="AN86" s="47">
        <v>0</v>
      </c>
      <c r="AO86" s="47">
        <v>0</v>
      </c>
      <c r="AP86" s="47">
        <v>0</v>
      </c>
      <c r="AQ86" s="47">
        <v>0</v>
      </c>
      <c r="AR86" s="47">
        <v>0</v>
      </c>
      <c r="AS86" s="47">
        <v>0</v>
      </c>
      <c r="AT86" s="47">
        <v>0</v>
      </c>
      <c r="AU86" s="47">
        <v>0</v>
      </c>
      <c r="AV86" s="47">
        <v>0</v>
      </c>
      <c r="AW86" s="47">
        <v>0</v>
      </c>
      <c r="AX86" s="47">
        <v>0</v>
      </c>
      <c r="AY86" s="47">
        <v>0</v>
      </c>
      <c r="AZ86" s="47">
        <v>0</v>
      </c>
      <c r="BA86" s="47">
        <v>0</v>
      </c>
      <c r="BB86" s="47">
        <v>0</v>
      </c>
      <c r="BC86" s="47">
        <v>0</v>
      </c>
      <c r="BD86" s="47">
        <v>0</v>
      </c>
      <c r="BE86" s="47">
        <v>0</v>
      </c>
      <c r="BF86" s="47">
        <v>0</v>
      </c>
      <c r="BG86" s="41">
        <f t="shared" si="10"/>
        <v>47.533154992241585</v>
      </c>
      <c r="BH86" s="41">
        <f t="shared" si="11"/>
        <v>167.7574822020251</v>
      </c>
      <c r="BI86" s="42">
        <f t="shared" si="12"/>
        <v>-1.2610919107591834</v>
      </c>
      <c r="BJ86" s="42">
        <f t="shared" si="13"/>
        <v>-0.72215595438284452</v>
      </c>
      <c r="BK86" s="42">
        <f t="shared" si="14"/>
        <v>0.74804000699260065</v>
      </c>
      <c r="BL86" s="42">
        <f t="shared" si="15"/>
        <v>-0.72046408125022887</v>
      </c>
      <c r="BM86" s="42">
        <f t="shared" si="16"/>
        <v>42.795359187497709</v>
      </c>
      <c r="BN86" s="39" t="str">
        <f t="shared" si="17"/>
        <v>NC</v>
      </c>
    </row>
    <row r="87" spans="1:66" x14ac:dyDescent="0.45">
      <c r="A87" s="38">
        <v>86</v>
      </c>
      <c r="B87" s="36" t="s">
        <v>27</v>
      </c>
      <c r="C87" s="39">
        <f t="shared" si="9"/>
        <v>29</v>
      </c>
      <c r="D87" s="47">
        <v>1</v>
      </c>
      <c r="E87" s="47">
        <v>1</v>
      </c>
      <c r="F87" s="47">
        <v>1</v>
      </c>
      <c r="G87" s="47">
        <v>0</v>
      </c>
      <c r="H87" s="47">
        <v>1</v>
      </c>
      <c r="I87" s="47">
        <v>1</v>
      </c>
      <c r="J87" s="47">
        <v>0</v>
      </c>
      <c r="K87" s="47">
        <v>0</v>
      </c>
      <c r="L87" s="47">
        <v>0</v>
      </c>
      <c r="M87" s="47">
        <v>1</v>
      </c>
      <c r="N87" s="47">
        <v>0</v>
      </c>
      <c r="O87" s="47">
        <v>0</v>
      </c>
      <c r="P87" s="47">
        <v>1</v>
      </c>
      <c r="Q87" s="47">
        <v>1</v>
      </c>
      <c r="R87" s="54">
        <v>0</v>
      </c>
      <c r="S87" s="47">
        <v>1</v>
      </c>
      <c r="T87" s="47">
        <v>1</v>
      </c>
      <c r="U87" s="47">
        <v>1</v>
      </c>
      <c r="V87" s="47">
        <v>1</v>
      </c>
      <c r="W87" s="47">
        <v>1</v>
      </c>
      <c r="X87" s="47">
        <v>1</v>
      </c>
      <c r="Y87" s="47">
        <v>1</v>
      </c>
      <c r="Z87" s="47">
        <v>1</v>
      </c>
      <c r="AA87" s="47">
        <v>0</v>
      </c>
      <c r="AB87" s="47">
        <v>1</v>
      </c>
      <c r="AC87" s="47">
        <v>1</v>
      </c>
      <c r="AD87" s="47">
        <v>0</v>
      </c>
      <c r="AE87" s="47">
        <v>1</v>
      </c>
      <c r="AF87" s="47">
        <v>0</v>
      </c>
      <c r="AG87" s="47">
        <v>1</v>
      </c>
      <c r="AH87" s="47">
        <v>0</v>
      </c>
      <c r="AI87" s="47">
        <v>1</v>
      </c>
      <c r="AJ87" s="47">
        <v>1</v>
      </c>
      <c r="AK87" s="47">
        <v>1</v>
      </c>
      <c r="AL87" s="47">
        <v>1</v>
      </c>
      <c r="AM87" s="50">
        <v>1</v>
      </c>
      <c r="AN87" s="50">
        <v>0</v>
      </c>
      <c r="AO87" s="50">
        <v>0</v>
      </c>
      <c r="AP87" s="50">
        <v>0</v>
      </c>
      <c r="AQ87" s="50">
        <v>1</v>
      </c>
      <c r="AR87" s="50">
        <v>0</v>
      </c>
      <c r="AS87" s="50">
        <v>0</v>
      </c>
      <c r="AT87" s="50">
        <v>0</v>
      </c>
      <c r="AU87" s="50">
        <v>0</v>
      </c>
      <c r="AV87" s="50">
        <v>0</v>
      </c>
      <c r="AW87" s="50">
        <v>0</v>
      </c>
      <c r="AX87" s="50">
        <v>0</v>
      </c>
      <c r="AY87" s="50">
        <v>0</v>
      </c>
      <c r="AZ87" s="50">
        <v>1</v>
      </c>
      <c r="BA87" s="50">
        <v>1</v>
      </c>
      <c r="BB87" s="50">
        <v>1</v>
      </c>
      <c r="BC87" s="50">
        <v>0</v>
      </c>
      <c r="BD87" s="50">
        <v>0</v>
      </c>
      <c r="BE87" s="50">
        <v>0</v>
      </c>
      <c r="BF87" s="50">
        <v>0</v>
      </c>
      <c r="BG87" s="41">
        <f t="shared" si="10"/>
        <v>91.584525766213588</v>
      </c>
      <c r="BH87" s="41">
        <f t="shared" si="11"/>
        <v>123.70611142805309</v>
      </c>
      <c r="BI87" s="42">
        <f t="shared" si="12"/>
        <v>-0.30064635869085921</v>
      </c>
      <c r="BJ87" s="42">
        <f t="shared" si="13"/>
        <v>-0.72215595438284452</v>
      </c>
      <c r="BK87" s="42">
        <f t="shared" si="14"/>
        <v>0.74804000699260065</v>
      </c>
      <c r="BL87" s="42">
        <f t="shared" si="15"/>
        <v>0.56348536408715733</v>
      </c>
      <c r="BM87" s="42">
        <f t="shared" si="16"/>
        <v>55.634853640871576</v>
      </c>
      <c r="BN87" s="39" t="str">
        <f t="shared" si="17"/>
        <v>B</v>
      </c>
    </row>
    <row r="88" spans="1:66" x14ac:dyDescent="0.45">
      <c r="A88" s="38">
        <v>87</v>
      </c>
      <c r="B88" s="35" t="s">
        <v>500</v>
      </c>
      <c r="C88" s="39">
        <f t="shared" si="9"/>
        <v>29</v>
      </c>
      <c r="D88" s="47">
        <v>1</v>
      </c>
      <c r="E88" s="47">
        <v>1</v>
      </c>
      <c r="F88" s="47">
        <v>1</v>
      </c>
      <c r="G88" s="47">
        <v>1</v>
      </c>
      <c r="H88" s="47">
        <v>0</v>
      </c>
      <c r="I88" s="47">
        <v>1</v>
      </c>
      <c r="J88" s="47">
        <v>1</v>
      </c>
      <c r="K88" s="47">
        <v>1</v>
      </c>
      <c r="L88" s="47">
        <v>0</v>
      </c>
      <c r="M88" s="47">
        <v>1</v>
      </c>
      <c r="N88" s="47">
        <v>0</v>
      </c>
      <c r="O88" s="47">
        <v>0</v>
      </c>
      <c r="P88" s="47">
        <v>1</v>
      </c>
      <c r="Q88" s="47">
        <v>1</v>
      </c>
      <c r="R88" s="54">
        <v>0</v>
      </c>
      <c r="S88" s="47">
        <v>1</v>
      </c>
      <c r="T88" s="47">
        <v>1</v>
      </c>
      <c r="U88" s="47">
        <v>0</v>
      </c>
      <c r="V88" s="47">
        <v>1</v>
      </c>
      <c r="W88" s="47">
        <v>1</v>
      </c>
      <c r="X88" s="47">
        <v>0</v>
      </c>
      <c r="Y88" s="47">
        <v>1</v>
      </c>
      <c r="Z88" s="47">
        <v>0</v>
      </c>
      <c r="AA88" s="47">
        <v>1</v>
      </c>
      <c r="AB88" s="47">
        <v>1</v>
      </c>
      <c r="AC88" s="47">
        <v>1</v>
      </c>
      <c r="AD88" s="47">
        <v>0</v>
      </c>
      <c r="AE88" s="47">
        <v>1</v>
      </c>
      <c r="AF88" s="47">
        <v>0</v>
      </c>
      <c r="AG88" s="47">
        <v>1</v>
      </c>
      <c r="AH88" s="47">
        <v>1</v>
      </c>
      <c r="AI88" s="47">
        <v>0</v>
      </c>
      <c r="AJ88" s="47">
        <v>1</v>
      </c>
      <c r="AK88" s="47">
        <v>0</v>
      </c>
      <c r="AL88" s="47">
        <v>1</v>
      </c>
      <c r="AM88" s="50">
        <v>1</v>
      </c>
      <c r="AN88" s="50">
        <v>0</v>
      </c>
      <c r="AO88" s="50">
        <v>0</v>
      </c>
      <c r="AP88" s="50">
        <v>0</v>
      </c>
      <c r="AQ88" s="50">
        <v>1</v>
      </c>
      <c r="AR88" s="50">
        <v>1</v>
      </c>
      <c r="AS88" s="50">
        <v>0</v>
      </c>
      <c r="AT88" s="50">
        <v>0</v>
      </c>
      <c r="AU88" s="50">
        <v>1</v>
      </c>
      <c r="AV88" s="50">
        <v>0</v>
      </c>
      <c r="AW88" s="50">
        <v>1</v>
      </c>
      <c r="AX88" s="50">
        <v>1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41">
        <f t="shared" si="10"/>
        <v>92.927343356831983</v>
      </c>
      <c r="BH88" s="41">
        <f t="shared" si="11"/>
        <v>122.3632938374347</v>
      </c>
      <c r="BI88" s="42">
        <f t="shared" si="12"/>
        <v>-0.27517650456656256</v>
      </c>
      <c r="BJ88" s="42">
        <f t="shared" si="13"/>
        <v>-0.72215595438284452</v>
      </c>
      <c r="BK88" s="42">
        <f t="shared" si="14"/>
        <v>0.74804000699260065</v>
      </c>
      <c r="BL88" s="42">
        <f t="shared" si="15"/>
        <v>0.59753415009620381</v>
      </c>
      <c r="BM88" s="42">
        <f t="shared" si="16"/>
        <v>55.975341500962038</v>
      </c>
      <c r="BN88" s="39" t="str">
        <f t="shared" si="17"/>
        <v>B</v>
      </c>
    </row>
    <row r="89" spans="1:66" x14ac:dyDescent="0.45">
      <c r="A89" s="38">
        <v>88</v>
      </c>
      <c r="B89" s="36" t="s">
        <v>512</v>
      </c>
      <c r="C89" s="39">
        <f t="shared" si="9"/>
        <v>11</v>
      </c>
      <c r="D89" s="47">
        <v>1</v>
      </c>
      <c r="E89" s="47">
        <v>1</v>
      </c>
      <c r="F89" s="47">
        <v>1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1</v>
      </c>
      <c r="Q89" s="47">
        <v>0</v>
      </c>
      <c r="R89" s="54">
        <v>0</v>
      </c>
      <c r="S89" s="47">
        <v>1</v>
      </c>
      <c r="T89" s="47">
        <v>0</v>
      </c>
      <c r="U89" s="47">
        <v>0</v>
      </c>
      <c r="V89" s="47">
        <v>0</v>
      </c>
      <c r="W89" s="47">
        <v>1</v>
      </c>
      <c r="X89" s="47">
        <v>0</v>
      </c>
      <c r="Y89" s="47">
        <v>0</v>
      </c>
      <c r="Z89" s="47">
        <v>1</v>
      </c>
      <c r="AA89" s="47">
        <v>1</v>
      </c>
      <c r="AB89" s="47">
        <v>0</v>
      </c>
      <c r="AC89" s="47">
        <v>1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>
        <v>0</v>
      </c>
      <c r="AJ89" s="47">
        <v>0</v>
      </c>
      <c r="AK89" s="47">
        <v>0</v>
      </c>
      <c r="AL89" s="47">
        <v>0</v>
      </c>
      <c r="AM89" s="47">
        <v>1</v>
      </c>
      <c r="AN89" s="47">
        <v>0</v>
      </c>
      <c r="AO89" s="47">
        <v>0</v>
      </c>
      <c r="AP89" s="47">
        <v>1</v>
      </c>
      <c r="AQ89" s="47">
        <v>0</v>
      </c>
      <c r="AR89" s="47">
        <v>0</v>
      </c>
      <c r="AS89" s="47">
        <v>0</v>
      </c>
      <c r="AT89" s="47">
        <v>0</v>
      </c>
      <c r="AU89" s="47">
        <v>0</v>
      </c>
      <c r="AV89" s="47">
        <v>0</v>
      </c>
      <c r="AW89" s="47">
        <v>0</v>
      </c>
      <c r="AX89" s="47">
        <v>0</v>
      </c>
      <c r="AY89" s="47">
        <v>0</v>
      </c>
      <c r="AZ89" s="47">
        <v>0</v>
      </c>
      <c r="BA89" s="47">
        <v>0</v>
      </c>
      <c r="BB89" s="47">
        <v>0</v>
      </c>
      <c r="BC89" s="47">
        <v>0</v>
      </c>
      <c r="BD89" s="47">
        <v>0</v>
      </c>
      <c r="BE89" s="47">
        <v>0</v>
      </c>
      <c r="BF89" s="47">
        <v>0</v>
      </c>
      <c r="BG89" s="41">
        <f t="shared" si="10"/>
        <v>31.015811237350988</v>
      </c>
      <c r="BH89" s="41">
        <f t="shared" si="11"/>
        <v>184.27482595691569</v>
      </c>
      <c r="BI89" s="42">
        <f t="shared" si="12"/>
        <v>-1.7819311482266105</v>
      </c>
      <c r="BJ89" s="42">
        <f t="shared" si="13"/>
        <v>-0.72215595438284452</v>
      </c>
      <c r="BK89" s="42">
        <f t="shared" si="14"/>
        <v>0.74804000699260065</v>
      </c>
      <c r="BL89" s="42">
        <f t="shared" si="15"/>
        <v>-1.416735981948956</v>
      </c>
      <c r="BM89" s="42">
        <f t="shared" si="16"/>
        <v>35.832640180510438</v>
      </c>
      <c r="BN89" s="39" t="str">
        <f t="shared" si="17"/>
        <v>NC</v>
      </c>
    </row>
    <row r="90" spans="1:66" x14ac:dyDescent="0.45">
      <c r="A90" s="38">
        <v>89</v>
      </c>
      <c r="B90" s="35" t="s">
        <v>504</v>
      </c>
      <c r="C90" s="39">
        <f t="shared" si="9"/>
        <v>19</v>
      </c>
      <c r="D90" s="47">
        <v>0</v>
      </c>
      <c r="E90" s="47">
        <v>1</v>
      </c>
      <c r="F90" s="47">
        <v>1</v>
      </c>
      <c r="G90" s="47">
        <v>0</v>
      </c>
      <c r="H90" s="47">
        <v>0</v>
      </c>
      <c r="I90" s="47">
        <v>1</v>
      </c>
      <c r="J90" s="47">
        <v>0</v>
      </c>
      <c r="K90" s="47">
        <v>1</v>
      </c>
      <c r="L90" s="47">
        <v>0</v>
      </c>
      <c r="M90" s="47">
        <v>1</v>
      </c>
      <c r="N90" s="47">
        <v>0</v>
      </c>
      <c r="O90" s="47">
        <v>1</v>
      </c>
      <c r="P90" s="47">
        <v>0</v>
      </c>
      <c r="Q90" s="47">
        <v>1</v>
      </c>
      <c r="R90" s="54">
        <v>0</v>
      </c>
      <c r="S90" s="47">
        <v>1</v>
      </c>
      <c r="T90" s="47">
        <v>0</v>
      </c>
      <c r="U90" s="47">
        <v>0</v>
      </c>
      <c r="V90" s="47">
        <v>1</v>
      </c>
      <c r="W90" s="47">
        <v>0</v>
      </c>
      <c r="X90" s="47">
        <v>0</v>
      </c>
      <c r="Y90" s="47">
        <v>1</v>
      </c>
      <c r="Z90" s="47">
        <v>0</v>
      </c>
      <c r="AA90" s="47">
        <v>1</v>
      </c>
      <c r="AB90" s="47">
        <v>0</v>
      </c>
      <c r="AC90" s="47">
        <v>1</v>
      </c>
      <c r="AD90" s="47">
        <v>0</v>
      </c>
      <c r="AE90" s="47">
        <v>0</v>
      </c>
      <c r="AF90" s="47">
        <v>0</v>
      </c>
      <c r="AG90" s="47">
        <v>1</v>
      </c>
      <c r="AH90" s="47">
        <v>1</v>
      </c>
      <c r="AI90" s="47">
        <v>1</v>
      </c>
      <c r="AJ90" s="47">
        <v>1</v>
      </c>
      <c r="AK90" s="47">
        <v>0</v>
      </c>
      <c r="AL90" s="47">
        <v>1</v>
      </c>
      <c r="AM90" s="50">
        <v>0</v>
      </c>
      <c r="AN90" s="50">
        <v>0</v>
      </c>
      <c r="AO90" s="50">
        <v>0</v>
      </c>
      <c r="AP90" s="50">
        <v>0</v>
      </c>
      <c r="AQ90" s="50">
        <v>0</v>
      </c>
      <c r="AR90" s="50">
        <v>0</v>
      </c>
      <c r="AS90" s="50">
        <v>0</v>
      </c>
      <c r="AT90" s="50">
        <v>1</v>
      </c>
      <c r="AU90" s="50">
        <v>0</v>
      </c>
      <c r="AV90" s="50">
        <v>0</v>
      </c>
      <c r="AW90" s="50">
        <v>0</v>
      </c>
      <c r="AX90" s="50">
        <v>0</v>
      </c>
      <c r="AY90" s="50">
        <v>0</v>
      </c>
      <c r="AZ90" s="50">
        <v>0</v>
      </c>
      <c r="BA90" s="50">
        <v>0</v>
      </c>
      <c r="BB90" s="50">
        <v>0</v>
      </c>
      <c r="BC90" s="50">
        <v>0</v>
      </c>
      <c r="BD90" s="50">
        <v>1</v>
      </c>
      <c r="BE90" s="50">
        <v>0</v>
      </c>
      <c r="BF90" s="50">
        <v>0</v>
      </c>
      <c r="BG90" s="41">
        <f t="shared" si="10"/>
        <v>61.19398095263643</v>
      </c>
      <c r="BH90" s="41">
        <f t="shared" si="11"/>
        <v>154.09665624163026</v>
      </c>
      <c r="BI90" s="42">
        <f t="shared" si="12"/>
        <v>-0.92353120922954124</v>
      </c>
      <c r="BJ90" s="42">
        <f t="shared" si="13"/>
        <v>-0.72215595438284452</v>
      </c>
      <c r="BK90" s="42">
        <f t="shared" si="14"/>
        <v>0.74804000699260065</v>
      </c>
      <c r="BL90" s="42">
        <f t="shared" si="15"/>
        <v>-0.26920385669785257</v>
      </c>
      <c r="BM90" s="42">
        <f t="shared" si="16"/>
        <v>47.307961433021475</v>
      </c>
      <c r="BN90" s="39" t="str">
        <f t="shared" si="17"/>
        <v>C</v>
      </c>
    </row>
    <row r="91" spans="1:66" x14ac:dyDescent="0.45">
      <c r="A91" s="38">
        <v>90</v>
      </c>
      <c r="B91" s="36" t="s">
        <v>479</v>
      </c>
      <c r="C91" s="39">
        <f t="shared" si="9"/>
        <v>15</v>
      </c>
      <c r="D91" s="47">
        <v>1</v>
      </c>
      <c r="E91" s="47">
        <v>1</v>
      </c>
      <c r="F91" s="47">
        <v>1</v>
      </c>
      <c r="G91" s="47">
        <v>0</v>
      </c>
      <c r="H91" s="47">
        <v>0</v>
      </c>
      <c r="I91" s="47">
        <v>1</v>
      </c>
      <c r="J91" s="47">
        <v>1</v>
      </c>
      <c r="K91" s="47">
        <v>0</v>
      </c>
      <c r="L91" s="47">
        <v>0</v>
      </c>
      <c r="M91" s="47">
        <v>1</v>
      </c>
      <c r="N91" s="47">
        <v>0</v>
      </c>
      <c r="O91" s="47">
        <v>1</v>
      </c>
      <c r="P91" s="47">
        <v>1</v>
      </c>
      <c r="Q91" s="47">
        <v>0</v>
      </c>
      <c r="R91" s="54">
        <v>0</v>
      </c>
      <c r="S91" s="47">
        <v>1</v>
      </c>
      <c r="T91" s="47">
        <v>0</v>
      </c>
      <c r="U91" s="47">
        <v>0</v>
      </c>
      <c r="V91" s="47">
        <v>1</v>
      </c>
      <c r="W91" s="47">
        <v>0</v>
      </c>
      <c r="X91" s="47">
        <v>0</v>
      </c>
      <c r="Y91" s="47">
        <v>1</v>
      </c>
      <c r="Z91" s="47">
        <v>0</v>
      </c>
      <c r="AA91" s="47">
        <v>1</v>
      </c>
      <c r="AB91" s="47">
        <v>0</v>
      </c>
      <c r="AC91" s="47">
        <v>0</v>
      </c>
      <c r="AD91" s="47">
        <v>0</v>
      </c>
      <c r="AE91" s="47">
        <v>1</v>
      </c>
      <c r="AF91" s="47">
        <v>0</v>
      </c>
      <c r="AG91" s="47">
        <v>0</v>
      </c>
      <c r="AH91" s="47">
        <v>0</v>
      </c>
      <c r="AI91" s="47">
        <v>0</v>
      </c>
      <c r="AJ91" s="47">
        <v>0</v>
      </c>
      <c r="AK91" s="47">
        <v>0</v>
      </c>
      <c r="AL91" s="47">
        <v>1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1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/>
      <c r="BG91" s="41">
        <f t="shared" si="10"/>
        <v>43.650780722917489</v>
      </c>
      <c r="BH91" s="41">
        <f t="shared" si="11"/>
        <v>171.63985647134919</v>
      </c>
      <c r="BI91" s="42">
        <f t="shared" si="12"/>
        <v>-1.3691772558006978</v>
      </c>
      <c r="BJ91" s="42">
        <f t="shared" si="13"/>
        <v>-0.72215595438284452</v>
      </c>
      <c r="BK91" s="42">
        <f t="shared" si="14"/>
        <v>0.74804000699260065</v>
      </c>
      <c r="BL91" s="42">
        <f t="shared" si="15"/>
        <v>-0.86495547747388513</v>
      </c>
      <c r="BM91" s="42">
        <f t="shared" si="16"/>
        <v>41.350445225261147</v>
      </c>
      <c r="BN91" s="39" t="str">
        <f t="shared" si="17"/>
        <v>NC</v>
      </c>
    </row>
    <row r="92" spans="1:66" x14ac:dyDescent="0.45">
      <c r="A92" s="38">
        <v>91</v>
      </c>
      <c r="B92" s="35" t="s">
        <v>473</v>
      </c>
      <c r="C92" s="39">
        <f t="shared" si="9"/>
        <v>5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1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1</v>
      </c>
      <c r="Q92" s="47">
        <v>0</v>
      </c>
      <c r="R92" s="54">
        <v>0</v>
      </c>
      <c r="S92" s="47">
        <v>1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1</v>
      </c>
      <c r="AC92" s="47">
        <v>0</v>
      </c>
      <c r="AD92" s="47">
        <v>0</v>
      </c>
      <c r="AE92" s="47">
        <v>0</v>
      </c>
      <c r="AF92" s="47">
        <v>0</v>
      </c>
      <c r="AG92" s="47">
        <v>1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50">
        <v>0</v>
      </c>
      <c r="AN92" s="50">
        <v>0</v>
      </c>
      <c r="AO92" s="50">
        <v>0</v>
      </c>
      <c r="AP92" s="50">
        <v>0</v>
      </c>
      <c r="AQ92" s="50">
        <v>0</v>
      </c>
      <c r="AR92" s="50">
        <v>0</v>
      </c>
      <c r="AS92" s="50">
        <v>0</v>
      </c>
      <c r="AT92" s="50">
        <v>0</v>
      </c>
      <c r="AU92" s="50">
        <v>0</v>
      </c>
      <c r="AV92" s="50">
        <v>0</v>
      </c>
      <c r="AW92" s="50">
        <v>0</v>
      </c>
      <c r="AX92" s="50">
        <v>0</v>
      </c>
      <c r="AY92" s="50">
        <v>0</v>
      </c>
      <c r="AZ92" s="50">
        <v>0</v>
      </c>
      <c r="BA92" s="50">
        <v>0</v>
      </c>
      <c r="BB92" s="50">
        <v>0</v>
      </c>
      <c r="BC92" s="50">
        <v>0</v>
      </c>
      <c r="BD92" s="50">
        <v>0</v>
      </c>
      <c r="BE92" s="50">
        <v>0</v>
      </c>
      <c r="BF92" s="50">
        <v>0</v>
      </c>
      <c r="BG92" s="41">
        <f t="shared" si="10"/>
        <v>15.089883466648917</v>
      </c>
      <c r="BH92" s="41">
        <f t="shared" si="11"/>
        <v>200.20075372761775</v>
      </c>
      <c r="BI92" s="42">
        <f t="shared" si="12"/>
        <v>-2.585296081552054</v>
      </c>
      <c r="BJ92" s="42">
        <f t="shared" si="13"/>
        <v>-0.72215595438284452</v>
      </c>
      <c r="BK92" s="42">
        <f t="shared" si="14"/>
        <v>0.74804000699260065</v>
      </c>
      <c r="BL92" s="42">
        <f t="shared" si="15"/>
        <v>-2.4906958314431957</v>
      </c>
      <c r="BM92" s="42">
        <f t="shared" si="16"/>
        <v>25.093041685568043</v>
      </c>
      <c r="BN92" s="39" t="str">
        <f t="shared" si="17"/>
        <v>NC</v>
      </c>
    </row>
    <row r="93" spans="1:66" x14ac:dyDescent="0.45">
      <c r="A93" s="38">
        <v>92</v>
      </c>
      <c r="B93" s="35" t="s">
        <v>497</v>
      </c>
      <c r="C93" s="39">
        <f t="shared" si="9"/>
        <v>32</v>
      </c>
      <c r="D93" s="47">
        <v>1</v>
      </c>
      <c r="E93" s="47">
        <v>1</v>
      </c>
      <c r="F93" s="47">
        <v>1</v>
      </c>
      <c r="G93" s="47">
        <v>0</v>
      </c>
      <c r="H93" s="47">
        <v>1</v>
      </c>
      <c r="I93" s="47">
        <v>1</v>
      </c>
      <c r="J93" s="47">
        <v>1</v>
      </c>
      <c r="K93" s="47">
        <v>0</v>
      </c>
      <c r="L93" s="47">
        <v>1</v>
      </c>
      <c r="M93" s="47">
        <v>1</v>
      </c>
      <c r="N93" s="47">
        <v>1</v>
      </c>
      <c r="O93" s="47">
        <v>1</v>
      </c>
      <c r="P93" s="47">
        <v>1</v>
      </c>
      <c r="Q93" s="47">
        <v>1</v>
      </c>
      <c r="R93" s="54">
        <v>0</v>
      </c>
      <c r="S93" s="47">
        <v>0</v>
      </c>
      <c r="T93" s="47">
        <v>1</v>
      </c>
      <c r="U93" s="47">
        <v>1</v>
      </c>
      <c r="V93" s="47">
        <v>1</v>
      </c>
      <c r="W93" s="47">
        <v>1</v>
      </c>
      <c r="X93" s="47">
        <v>1</v>
      </c>
      <c r="Y93" s="47">
        <v>1</v>
      </c>
      <c r="Z93" s="47">
        <v>0</v>
      </c>
      <c r="AA93" s="47">
        <v>1</v>
      </c>
      <c r="AB93" s="47">
        <v>1</v>
      </c>
      <c r="AC93" s="47">
        <v>1</v>
      </c>
      <c r="AD93" s="47">
        <v>1</v>
      </c>
      <c r="AE93" s="47">
        <v>1</v>
      </c>
      <c r="AF93" s="47">
        <v>1</v>
      </c>
      <c r="AG93" s="47">
        <v>1</v>
      </c>
      <c r="AH93" s="47">
        <v>1</v>
      </c>
      <c r="AI93" s="47">
        <v>0</v>
      </c>
      <c r="AJ93" s="47">
        <v>1</v>
      </c>
      <c r="AK93" s="47">
        <v>1</v>
      </c>
      <c r="AL93" s="47">
        <v>1</v>
      </c>
      <c r="AM93" s="50">
        <v>0</v>
      </c>
      <c r="AN93" s="50">
        <v>0</v>
      </c>
      <c r="AO93" s="50">
        <v>0</v>
      </c>
      <c r="AP93" s="50">
        <v>0</v>
      </c>
      <c r="AQ93" s="50">
        <v>0</v>
      </c>
      <c r="AR93" s="50">
        <v>1</v>
      </c>
      <c r="AS93" s="50">
        <v>0</v>
      </c>
      <c r="AT93" s="50">
        <v>0</v>
      </c>
      <c r="AU93" s="50">
        <v>0</v>
      </c>
      <c r="AV93" s="50">
        <v>0</v>
      </c>
      <c r="AW93" s="50">
        <v>0</v>
      </c>
      <c r="AX93" s="50">
        <v>0</v>
      </c>
      <c r="AY93" s="50">
        <v>0</v>
      </c>
      <c r="AZ93" s="50">
        <v>0</v>
      </c>
      <c r="BA93" s="50">
        <v>0</v>
      </c>
      <c r="BB93" s="50">
        <v>0</v>
      </c>
      <c r="BC93" s="50">
        <v>1</v>
      </c>
      <c r="BD93" s="50">
        <v>1</v>
      </c>
      <c r="BE93" s="50">
        <v>0</v>
      </c>
      <c r="BF93" s="50">
        <v>0</v>
      </c>
      <c r="BG93" s="41">
        <f t="shared" si="10"/>
        <v>104.04835210676239</v>
      </c>
      <c r="BH93" s="41">
        <f t="shared" si="11"/>
        <v>111.24228508750429</v>
      </c>
      <c r="BI93" s="42">
        <f t="shared" si="12"/>
        <v>-6.685485591251418E-2</v>
      </c>
      <c r="BJ93" s="42">
        <f t="shared" si="13"/>
        <v>-0.72215595438284452</v>
      </c>
      <c r="BK93" s="42">
        <f t="shared" si="14"/>
        <v>0.74804000699260065</v>
      </c>
      <c r="BL93" s="42">
        <f t="shared" si="15"/>
        <v>0.87602413286006553</v>
      </c>
      <c r="BM93" s="42">
        <f t="shared" si="16"/>
        <v>58.760241328600657</v>
      </c>
      <c r="BN93" s="39" t="str">
        <f t="shared" si="17"/>
        <v>B</v>
      </c>
    </row>
    <row r="94" spans="1:66" x14ac:dyDescent="0.45">
      <c r="A94" s="38">
        <v>93</v>
      </c>
      <c r="B94" s="35" t="s">
        <v>450</v>
      </c>
      <c r="C94" s="39">
        <f t="shared" si="9"/>
        <v>18</v>
      </c>
      <c r="D94" s="47">
        <v>1</v>
      </c>
      <c r="E94" s="47">
        <v>1</v>
      </c>
      <c r="F94" s="47">
        <v>0</v>
      </c>
      <c r="G94" s="47">
        <v>0</v>
      </c>
      <c r="H94" s="47">
        <v>1</v>
      </c>
      <c r="I94" s="47">
        <v>1</v>
      </c>
      <c r="J94" s="47">
        <v>1</v>
      </c>
      <c r="K94" s="47">
        <v>1</v>
      </c>
      <c r="L94" s="47">
        <v>1</v>
      </c>
      <c r="M94" s="47">
        <v>1</v>
      </c>
      <c r="N94" s="47">
        <v>0</v>
      </c>
      <c r="O94" s="47">
        <v>0</v>
      </c>
      <c r="P94" s="47">
        <v>1</v>
      </c>
      <c r="Q94" s="47">
        <v>0</v>
      </c>
      <c r="R94" s="54">
        <v>0</v>
      </c>
      <c r="S94" s="47">
        <v>0</v>
      </c>
      <c r="T94" s="47">
        <v>0</v>
      </c>
      <c r="U94" s="47">
        <v>0</v>
      </c>
      <c r="V94" s="47">
        <v>0</v>
      </c>
      <c r="W94" s="47">
        <v>1</v>
      </c>
      <c r="X94" s="47">
        <v>0</v>
      </c>
      <c r="Y94" s="47">
        <v>0</v>
      </c>
      <c r="Z94" s="47">
        <v>1</v>
      </c>
      <c r="AA94" s="47">
        <v>0</v>
      </c>
      <c r="AB94" s="47">
        <v>1</v>
      </c>
      <c r="AC94" s="47">
        <v>1</v>
      </c>
      <c r="AD94" s="47">
        <v>1</v>
      </c>
      <c r="AE94" s="47">
        <v>1</v>
      </c>
      <c r="AF94" s="47">
        <v>0</v>
      </c>
      <c r="AG94" s="47">
        <v>0</v>
      </c>
      <c r="AH94" s="47">
        <v>1</v>
      </c>
      <c r="AI94" s="47">
        <v>0</v>
      </c>
      <c r="AJ94" s="47">
        <v>1</v>
      </c>
      <c r="AK94" s="47">
        <v>1</v>
      </c>
      <c r="AL94" s="47">
        <v>0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0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0</v>
      </c>
      <c r="BG94" s="41">
        <f t="shared" si="10"/>
        <v>50.511489003530002</v>
      </c>
      <c r="BH94" s="41">
        <f t="shared" si="11"/>
        <v>164.77914819073669</v>
      </c>
      <c r="BI94" s="42">
        <f t="shared" si="12"/>
        <v>-1.1824052660748343</v>
      </c>
      <c r="BJ94" s="42">
        <f t="shared" si="13"/>
        <v>-0.72215595438284452</v>
      </c>
      <c r="BK94" s="42">
        <f t="shared" si="14"/>
        <v>0.74804000699260065</v>
      </c>
      <c r="BL94" s="42">
        <f t="shared" si="15"/>
        <v>-0.61527365834664838</v>
      </c>
      <c r="BM94" s="42">
        <f t="shared" si="16"/>
        <v>43.847263416533515</v>
      </c>
      <c r="BN94" s="39" t="str">
        <f t="shared" si="17"/>
        <v>NC</v>
      </c>
    </row>
    <row r="95" spans="1:66" x14ac:dyDescent="0.45">
      <c r="A95" s="38">
        <v>94</v>
      </c>
      <c r="B95" s="35" t="s">
        <v>29</v>
      </c>
      <c r="C95" s="39">
        <f t="shared" si="9"/>
        <v>40</v>
      </c>
      <c r="D95" s="47">
        <v>1</v>
      </c>
      <c r="E95" s="47">
        <v>1</v>
      </c>
      <c r="F95" s="47">
        <v>1</v>
      </c>
      <c r="G95" s="47">
        <v>1</v>
      </c>
      <c r="H95" s="47">
        <v>1</v>
      </c>
      <c r="I95" s="47">
        <v>1</v>
      </c>
      <c r="J95" s="47">
        <v>1</v>
      </c>
      <c r="K95" s="47">
        <v>1</v>
      </c>
      <c r="L95" s="47">
        <v>1</v>
      </c>
      <c r="M95" s="47">
        <v>1</v>
      </c>
      <c r="N95" s="47">
        <v>1</v>
      </c>
      <c r="O95" s="47">
        <v>1</v>
      </c>
      <c r="P95" s="47">
        <v>1</v>
      </c>
      <c r="Q95" s="47">
        <v>1</v>
      </c>
      <c r="R95" s="54">
        <v>0</v>
      </c>
      <c r="S95" s="47">
        <v>0</v>
      </c>
      <c r="T95" s="47">
        <v>1</v>
      </c>
      <c r="U95" s="47">
        <v>1</v>
      </c>
      <c r="V95" s="47">
        <v>1</v>
      </c>
      <c r="W95" s="47">
        <v>1</v>
      </c>
      <c r="X95" s="47">
        <v>1</v>
      </c>
      <c r="Y95" s="47">
        <v>1</v>
      </c>
      <c r="Z95" s="47">
        <v>1</v>
      </c>
      <c r="AA95" s="47">
        <v>1</v>
      </c>
      <c r="AB95" s="47">
        <v>1</v>
      </c>
      <c r="AC95" s="47">
        <v>0</v>
      </c>
      <c r="AD95" s="47">
        <v>1</v>
      </c>
      <c r="AE95" s="47">
        <v>1</v>
      </c>
      <c r="AF95" s="47">
        <v>1</v>
      </c>
      <c r="AG95" s="47">
        <v>1</v>
      </c>
      <c r="AH95" s="47">
        <v>1</v>
      </c>
      <c r="AI95" s="47">
        <v>1</v>
      </c>
      <c r="AJ95" s="47">
        <v>1</v>
      </c>
      <c r="AK95" s="47">
        <v>1</v>
      </c>
      <c r="AL95" s="47">
        <v>0</v>
      </c>
      <c r="AM95" s="50">
        <v>1</v>
      </c>
      <c r="AN95" s="50">
        <v>1</v>
      </c>
      <c r="AO95" s="50">
        <v>1</v>
      </c>
      <c r="AP95" s="50">
        <v>1</v>
      </c>
      <c r="AQ95" s="50">
        <v>1</v>
      </c>
      <c r="AR95" s="50">
        <v>0</v>
      </c>
      <c r="AS95" s="50">
        <v>0</v>
      </c>
      <c r="AT95" s="50">
        <v>1</v>
      </c>
      <c r="AU95" s="50">
        <v>1</v>
      </c>
      <c r="AV95" s="50">
        <v>1</v>
      </c>
      <c r="AW95" s="50">
        <v>0</v>
      </c>
      <c r="AX95" s="50">
        <v>0</v>
      </c>
      <c r="AY95" s="50">
        <v>0</v>
      </c>
      <c r="AZ95" s="50">
        <v>0</v>
      </c>
      <c r="BA95" s="50">
        <v>0</v>
      </c>
      <c r="BB95" s="50">
        <v>1</v>
      </c>
      <c r="BC95" s="50">
        <v>0</v>
      </c>
      <c r="BD95" s="50">
        <v>0</v>
      </c>
      <c r="BE95" s="50">
        <v>0</v>
      </c>
      <c r="BF95" s="50">
        <v>0</v>
      </c>
      <c r="BG95" s="41">
        <f t="shared" si="10"/>
        <v>136.38996430025247</v>
      </c>
      <c r="BH95" s="41">
        <f t="shared" si="11"/>
        <v>78.900672894014207</v>
      </c>
      <c r="BI95" s="42">
        <f t="shared" si="12"/>
        <v>0.54732841093449913</v>
      </c>
      <c r="BJ95" s="42">
        <f t="shared" si="13"/>
        <v>-0.72215595438284452</v>
      </c>
      <c r="BK95" s="42">
        <f t="shared" si="14"/>
        <v>0.74804000699260065</v>
      </c>
      <c r="BL95" s="42">
        <f t="shared" si="15"/>
        <v>1.6970808425356065</v>
      </c>
      <c r="BM95" s="42">
        <f t="shared" si="16"/>
        <v>66.970808425356068</v>
      </c>
      <c r="BN95" s="39" t="str">
        <f t="shared" si="17"/>
        <v>A</v>
      </c>
    </row>
    <row r="96" spans="1:66" x14ac:dyDescent="0.45">
      <c r="A96" s="38">
        <v>95</v>
      </c>
      <c r="B96" s="35" t="s">
        <v>481</v>
      </c>
      <c r="C96" s="39">
        <f t="shared" si="9"/>
        <v>16</v>
      </c>
      <c r="D96" s="47">
        <v>0</v>
      </c>
      <c r="E96" s="47">
        <v>1</v>
      </c>
      <c r="F96" s="47">
        <v>1</v>
      </c>
      <c r="G96" s="47">
        <v>0</v>
      </c>
      <c r="H96" s="47">
        <v>1</v>
      </c>
      <c r="I96" s="47">
        <v>0</v>
      </c>
      <c r="J96" s="47">
        <v>0</v>
      </c>
      <c r="K96" s="47">
        <v>0</v>
      </c>
      <c r="L96" s="47">
        <v>1</v>
      </c>
      <c r="M96" s="47">
        <v>1</v>
      </c>
      <c r="N96" s="47">
        <v>0</v>
      </c>
      <c r="O96" s="47">
        <v>0</v>
      </c>
      <c r="P96" s="47">
        <v>1</v>
      </c>
      <c r="Q96" s="47">
        <v>0</v>
      </c>
      <c r="R96" s="54">
        <v>0</v>
      </c>
      <c r="S96" s="47">
        <v>0</v>
      </c>
      <c r="T96" s="47">
        <v>1</v>
      </c>
      <c r="U96" s="47">
        <v>1</v>
      </c>
      <c r="V96" s="47">
        <v>0</v>
      </c>
      <c r="W96" s="47">
        <v>0</v>
      </c>
      <c r="X96" s="47">
        <v>1</v>
      </c>
      <c r="Y96" s="47">
        <v>1</v>
      </c>
      <c r="Z96" s="47">
        <v>1</v>
      </c>
      <c r="AA96" s="47">
        <v>0</v>
      </c>
      <c r="AB96" s="47">
        <v>0</v>
      </c>
      <c r="AC96" s="47">
        <v>1</v>
      </c>
      <c r="AD96" s="47">
        <v>0</v>
      </c>
      <c r="AE96" s="47">
        <v>0</v>
      </c>
      <c r="AF96" s="47">
        <v>0</v>
      </c>
      <c r="AG96" s="47">
        <v>1</v>
      </c>
      <c r="AH96" s="47">
        <v>0</v>
      </c>
      <c r="AI96" s="47">
        <v>0</v>
      </c>
      <c r="AJ96" s="47">
        <v>0</v>
      </c>
      <c r="AK96" s="47">
        <v>1</v>
      </c>
      <c r="AL96" s="47">
        <v>0</v>
      </c>
      <c r="AM96" s="50">
        <v>1</v>
      </c>
      <c r="AN96" s="50">
        <v>0</v>
      </c>
      <c r="AO96" s="50">
        <v>1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0</v>
      </c>
      <c r="AX96" s="50">
        <v>0</v>
      </c>
      <c r="AY96" s="50">
        <v>0</v>
      </c>
      <c r="AZ96" s="50">
        <v>0</v>
      </c>
      <c r="BA96" s="50">
        <v>0</v>
      </c>
      <c r="BB96" s="50">
        <v>0</v>
      </c>
      <c r="BC96" s="50">
        <v>0</v>
      </c>
      <c r="BD96" s="50">
        <v>0</v>
      </c>
      <c r="BE96" s="50">
        <v>0</v>
      </c>
      <c r="BF96" s="50">
        <v>0</v>
      </c>
      <c r="BG96" s="41">
        <f t="shared" si="10"/>
        <v>46.195259551896221</v>
      </c>
      <c r="BH96" s="41">
        <f t="shared" si="11"/>
        <v>169.09537764237047</v>
      </c>
      <c r="BI96" s="42">
        <f t="shared" si="12"/>
        <v>-1.2975857347555253</v>
      </c>
      <c r="BJ96" s="42">
        <f t="shared" si="13"/>
        <v>-0.72215595438284452</v>
      </c>
      <c r="BK96" s="42">
        <f t="shared" si="14"/>
        <v>0.74804000699260065</v>
      </c>
      <c r="BL96" s="42">
        <f t="shared" si="15"/>
        <v>-0.76925000667560917</v>
      </c>
      <c r="BM96" s="42">
        <f t="shared" si="16"/>
        <v>42.307499933243911</v>
      </c>
      <c r="BN96" s="39" t="str">
        <f t="shared" si="17"/>
        <v>NC</v>
      </c>
    </row>
    <row r="97" spans="1:66" x14ac:dyDescent="0.45">
      <c r="A97" s="38">
        <v>96</v>
      </c>
      <c r="B97" s="36" t="s">
        <v>437</v>
      </c>
      <c r="C97" s="39">
        <f t="shared" si="9"/>
        <v>38</v>
      </c>
      <c r="D97" s="47">
        <v>1</v>
      </c>
      <c r="E97" s="47">
        <v>1</v>
      </c>
      <c r="F97" s="47">
        <v>1</v>
      </c>
      <c r="G97" s="47">
        <v>1</v>
      </c>
      <c r="H97" s="47">
        <v>1</v>
      </c>
      <c r="I97" s="47">
        <v>0</v>
      </c>
      <c r="J97" s="47">
        <v>1</v>
      </c>
      <c r="K97" s="47">
        <v>1</v>
      </c>
      <c r="L97" s="47">
        <v>1</v>
      </c>
      <c r="M97" s="47">
        <v>1</v>
      </c>
      <c r="N97" s="47">
        <v>1</v>
      </c>
      <c r="O97" s="47">
        <v>1</v>
      </c>
      <c r="P97" s="47">
        <v>1</v>
      </c>
      <c r="Q97" s="47">
        <v>0</v>
      </c>
      <c r="R97" s="54">
        <v>0</v>
      </c>
      <c r="S97" s="47">
        <v>0</v>
      </c>
      <c r="T97" s="47">
        <v>1</v>
      </c>
      <c r="U97" s="47">
        <v>1</v>
      </c>
      <c r="V97" s="47">
        <v>1</v>
      </c>
      <c r="W97" s="47">
        <v>1</v>
      </c>
      <c r="X97" s="47">
        <v>0</v>
      </c>
      <c r="Y97" s="47">
        <v>1</v>
      </c>
      <c r="Z97" s="47">
        <v>1</v>
      </c>
      <c r="AA97" s="47">
        <v>1</v>
      </c>
      <c r="AB97" s="47">
        <v>1</v>
      </c>
      <c r="AC97" s="47">
        <v>1</v>
      </c>
      <c r="AD97" s="47">
        <v>1</v>
      </c>
      <c r="AE97" s="47">
        <v>1</v>
      </c>
      <c r="AF97" s="47">
        <v>1</v>
      </c>
      <c r="AG97" s="47">
        <v>0</v>
      </c>
      <c r="AH97" s="47">
        <v>0</v>
      </c>
      <c r="AI97" s="47">
        <v>1</v>
      </c>
      <c r="AJ97" s="47">
        <v>1</v>
      </c>
      <c r="AK97" s="47">
        <v>1</v>
      </c>
      <c r="AL97" s="47">
        <v>1</v>
      </c>
      <c r="AM97" s="47">
        <v>1</v>
      </c>
      <c r="AN97" s="47">
        <v>0</v>
      </c>
      <c r="AO97" s="47">
        <v>0</v>
      </c>
      <c r="AP97" s="47">
        <v>0</v>
      </c>
      <c r="AQ97" s="47">
        <v>1</v>
      </c>
      <c r="AR97" s="47">
        <v>1</v>
      </c>
      <c r="AS97" s="47">
        <v>0</v>
      </c>
      <c r="AT97" s="47">
        <v>1</v>
      </c>
      <c r="AU97" s="47">
        <v>1</v>
      </c>
      <c r="AV97" s="47">
        <v>1</v>
      </c>
      <c r="AW97" s="47">
        <v>0</v>
      </c>
      <c r="AX97" s="47">
        <v>0</v>
      </c>
      <c r="AY97" s="47">
        <v>1</v>
      </c>
      <c r="AZ97" s="47">
        <v>1</v>
      </c>
      <c r="BA97" s="47">
        <v>1</v>
      </c>
      <c r="BB97" s="47">
        <v>1</v>
      </c>
      <c r="BC97" s="47">
        <v>0</v>
      </c>
      <c r="BD97" s="47">
        <v>0</v>
      </c>
      <c r="BE97" s="47">
        <v>0</v>
      </c>
      <c r="BF97" s="47">
        <v>0</v>
      </c>
      <c r="BG97" s="41">
        <f t="shared" si="10"/>
        <v>130.73150661121576</v>
      </c>
      <c r="BH97" s="41">
        <f t="shared" si="11"/>
        <v>84.559130583050916</v>
      </c>
      <c r="BI97" s="42">
        <f t="shared" si="12"/>
        <v>0.43569459225759932</v>
      </c>
      <c r="BJ97" s="42">
        <f t="shared" si="13"/>
        <v>-0.72215595438284452</v>
      </c>
      <c r="BK97" s="42">
        <f t="shared" si="14"/>
        <v>0.74804000699260065</v>
      </c>
      <c r="BL97" s="42">
        <f t="shared" si="15"/>
        <v>1.547845751319417</v>
      </c>
      <c r="BM97" s="42">
        <f t="shared" si="16"/>
        <v>65.478457513194172</v>
      </c>
      <c r="BN97" s="39" t="str">
        <f t="shared" si="17"/>
        <v>A</v>
      </c>
    </row>
    <row r="98" spans="1:66" x14ac:dyDescent="0.45">
      <c r="A98" s="38">
        <v>97</v>
      </c>
      <c r="B98" s="35" t="s">
        <v>14</v>
      </c>
      <c r="C98" s="39">
        <f t="shared" si="9"/>
        <v>30</v>
      </c>
      <c r="D98" s="47">
        <v>1</v>
      </c>
      <c r="E98" s="47">
        <v>1</v>
      </c>
      <c r="F98" s="47">
        <v>1</v>
      </c>
      <c r="G98" s="47">
        <v>1</v>
      </c>
      <c r="H98" s="47">
        <v>1</v>
      </c>
      <c r="I98" s="47">
        <v>1</v>
      </c>
      <c r="J98" s="47">
        <v>1</v>
      </c>
      <c r="K98" s="47">
        <v>1</v>
      </c>
      <c r="L98" s="47">
        <v>1</v>
      </c>
      <c r="M98" s="47">
        <v>1</v>
      </c>
      <c r="N98" s="47">
        <v>0</v>
      </c>
      <c r="O98" s="47">
        <v>1</v>
      </c>
      <c r="P98" s="47">
        <v>1</v>
      </c>
      <c r="Q98" s="47">
        <v>1</v>
      </c>
      <c r="R98" s="54">
        <v>1</v>
      </c>
      <c r="S98" s="47">
        <v>1</v>
      </c>
      <c r="T98" s="47">
        <v>1</v>
      </c>
      <c r="U98" s="47">
        <v>1</v>
      </c>
      <c r="V98" s="47">
        <v>1</v>
      </c>
      <c r="W98" s="47">
        <v>1</v>
      </c>
      <c r="X98" s="47">
        <v>1</v>
      </c>
      <c r="Y98" s="47">
        <v>0</v>
      </c>
      <c r="Z98" s="47">
        <v>1</v>
      </c>
      <c r="AA98" s="47">
        <v>1</v>
      </c>
      <c r="AB98" s="47">
        <v>1</v>
      </c>
      <c r="AC98" s="47">
        <v>1</v>
      </c>
      <c r="AD98" s="47">
        <v>0</v>
      </c>
      <c r="AE98" s="47">
        <v>1</v>
      </c>
      <c r="AF98" s="47">
        <v>0</v>
      </c>
      <c r="AG98" s="47">
        <v>0</v>
      </c>
      <c r="AH98" s="47">
        <v>0</v>
      </c>
      <c r="AI98" s="47">
        <v>0</v>
      </c>
      <c r="AJ98" s="47">
        <v>1</v>
      </c>
      <c r="AK98" s="47">
        <v>1</v>
      </c>
      <c r="AL98" s="47">
        <v>0</v>
      </c>
      <c r="AM98" s="50">
        <v>1</v>
      </c>
      <c r="AN98" s="50">
        <v>0</v>
      </c>
      <c r="AO98" s="50">
        <v>0</v>
      </c>
      <c r="AP98" s="50">
        <v>0</v>
      </c>
      <c r="AQ98" s="50">
        <v>1</v>
      </c>
      <c r="AR98" s="50">
        <v>1</v>
      </c>
      <c r="AS98" s="50">
        <v>0</v>
      </c>
      <c r="AT98" s="50">
        <v>0</v>
      </c>
      <c r="AU98" s="50">
        <v>0</v>
      </c>
      <c r="AV98" s="50">
        <v>0</v>
      </c>
      <c r="AW98" s="50">
        <v>0</v>
      </c>
      <c r="AX98" s="50">
        <v>0</v>
      </c>
      <c r="AY98" s="50">
        <v>0</v>
      </c>
      <c r="AZ98" s="50">
        <v>0</v>
      </c>
      <c r="BA98" s="50">
        <v>0</v>
      </c>
      <c r="BB98" s="50">
        <v>0</v>
      </c>
      <c r="BC98" s="50">
        <v>0</v>
      </c>
      <c r="BD98" s="50">
        <v>0</v>
      </c>
      <c r="BE98" s="50">
        <v>0</v>
      </c>
      <c r="BF98" s="50">
        <v>0</v>
      </c>
      <c r="BG98" s="41">
        <f t="shared" si="10"/>
        <v>90.787485439414354</v>
      </c>
      <c r="BH98" s="41">
        <f t="shared" si="11"/>
        <v>124.50315175485233</v>
      </c>
      <c r="BI98" s="42">
        <f t="shared" si="12"/>
        <v>-0.31580958033303208</v>
      </c>
      <c r="BJ98" s="42">
        <f t="shared" si="13"/>
        <v>-0.72215595438284452</v>
      </c>
      <c r="BK98" s="42">
        <f t="shared" si="14"/>
        <v>0.74804000699260065</v>
      </c>
      <c r="BL98" s="42">
        <f t="shared" si="15"/>
        <v>0.54321476157869708</v>
      </c>
      <c r="BM98" s="42">
        <f t="shared" si="16"/>
        <v>55.432147615786974</v>
      </c>
      <c r="BN98" s="39" t="str">
        <f t="shared" si="17"/>
        <v>B</v>
      </c>
    </row>
    <row r="99" spans="1:66" x14ac:dyDescent="0.45">
      <c r="A99" s="38">
        <v>98</v>
      </c>
      <c r="B99" s="35" t="s">
        <v>482</v>
      </c>
      <c r="C99" s="39">
        <f t="shared" si="9"/>
        <v>21</v>
      </c>
      <c r="D99" s="47">
        <v>0</v>
      </c>
      <c r="E99" s="47">
        <v>1</v>
      </c>
      <c r="F99" s="47">
        <v>1</v>
      </c>
      <c r="G99" s="47">
        <v>0</v>
      </c>
      <c r="H99" s="47">
        <v>0</v>
      </c>
      <c r="I99" s="47">
        <v>1</v>
      </c>
      <c r="J99" s="47">
        <v>1</v>
      </c>
      <c r="K99" s="47">
        <v>1</v>
      </c>
      <c r="L99" s="47">
        <v>1</v>
      </c>
      <c r="M99" s="47">
        <v>1</v>
      </c>
      <c r="N99" s="47">
        <v>1</v>
      </c>
      <c r="O99" s="47">
        <v>1</v>
      </c>
      <c r="P99" s="47">
        <v>1</v>
      </c>
      <c r="Q99" s="47">
        <v>1</v>
      </c>
      <c r="R99" s="54">
        <v>0</v>
      </c>
      <c r="S99" s="47">
        <v>1</v>
      </c>
      <c r="T99" s="47">
        <v>1</v>
      </c>
      <c r="U99" s="47">
        <v>1</v>
      </c>
      <c r="V99" s="47">
        <v>0</v>
      </c>
      <c r="W99" s="47">
        <v>0</v>
      </c>
      <c r="X99" s="47">
        <v>1</v>
      </c>
      <c r="Y99" s="47">
        <v>0</v>
      </c>
      <c r="Z99" s="47">
        <v>1</v>
      </c>
      <c r="AA99" s="47">
        <v>0</v>
      </c>
      <c r="AB99" s="47">
        <v>1</v>
      </c>
      <c r="AC99" s="47">
        <v>1</v>
      </c>
      <c r="AD99" s="47">
        <v>0</v>
      </c>
      <c r="AE99" s="47">
        <v>0</v>
      </c>
      <c r="AF99" s="47">
        <v>1</v>
      </c>
      <c r="AG99" s="47">
        <v>0</v>
      </c>
      <c r="AH99" s="47">
        <v>0</v>
      </c>
      <c r="AI99" s="47">
        <v>0</v>
      </c>
      <c r="AJ99" s="47">
        <v>0</v>
      </c>
      <c r="AK99" s="47">
        <v>0</v>
      </c>
      <c r="AL99" s="47">
        <v>0</v>
      </c>
      <c r="AM99" s="50">
        <v>0</v>
      </c>
      <c r="AN99" s="50">
        <v>1</v>
      </c>
      <c r="AO99" s="50">
        <v>1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41">
        <f t="shared" si="10"/>
        <v>65.511928071072916</v>
      </c>
      <c r="BH99" s="41">
        <f t="shared" si="11"/>
        <v>149.77870912319378</v>
      </c>
      <c r="BI99" s="42">
        <f t="shared" si="12"/>
        <v>-0.82692669828138388</v>
      </c>
      <c r="BJ99" s="42">
        <f t="shared" si="13"/>
        <v>-0.72215595438284452</v>
      </c>
      <c r="BK99" s="42">
        <f t="shared" si="14"/>
        <v>0.74804000699260065</v>
      </c>
      <c r="BL99" s="42">
        <f t="shared" si="15"/>
        <v>-0.14006034826901406</v>
      </c>
      <c r="BM99" s="42">
        <f t="shared" si="16"/>
        <v>48.599396517309856</v>
      </c>
      <c r="BN99" s="39" t="str">
        <f t="shared" si="17"/>
        <v>C</v>
      </c>
    </row>
    <row r="100" spans="1:66" x14ac:dyDescent="0.45">
      <c r="A100" s="38">
        <v>99</v>
      </c>
      <c r="B100" s="35" t="s">
        <v>39</v>
      </c>
      <c r="C100" s="39">
        <f t="shared" si="9"/>
        <v>21</v>
      </c>
      <c r="D100" s="47">
        <v>1</v>
      </c>
      <c r="E100" s="47">
        <v>1</v>
      </c>
      <c r="F100" s="47">
        <v>1</v>
      </c>
      <c r="G100" s="47">
        <v>0</v>
      </c>
      <c r="H100" s="47">
        <v>1</v>
      </c>
      <c r="I100" s="47">
        <v>1</v>
      </c>
      <c r="J100" s="47">
        <v>1</v>
      </c>
      <c r="K100" s="47">
        <v>0</v>
      </c>
      <c r="L100" s="47">
        <v>1</v>
      </c>
      <c r="M100" s="47">
        <v>1</v>
      </c>
      <c r="N100" s="47">
        <v>0</v>
      </c>
      <c r="O100" s="47">
        <v>0</v>
      </c>
      <c r="P100" s="47">
        <v>1</v>
      </c>
      <c r="Q100" s="47">
        <v>1</v>
      </c>
      <c r="R100" s="54">
        <v>0</v>
      </c>
      <c r="S100" s="47">
        <v>0</v>
      </c>
      <c r="T100" s="47">
        <v>1</v>
      </c>
      <c r="U100" s="47">
        <v>1</v>
      </c>
      <c r="V100" s="47">
        <v>0</v>
      </c>
      <c r="W100" s="47">
        <v>0</v>
      </c>
      <c r="X100" s="47">
        <v>0</v>
      </c>
      <c r="Y100" s="47">
        <v>1</v>
      </c>
      <c r="Z100" s="47">
        <v>0</v>
      </c>
      <c r="AA100" s="47">
        <v>1</v>
      </c>
      <c r="AB100" s="47">
        <v>0</v>
      </c>
      <c r="AC100" s="47">
        <v>1</v>
      </c>
      <c r="AD100" s="47">
        <v>0</v>
      </c>
      <c r="AE100" s="47">
        <v>1</v>
      </c>
      <c r="AF100" s="47">
        <v>0</v>
      </c>
      <c r="AG100" s="47">
        <v>0</v>
      </c>
      <c r="AH100" s="47">
        <v>0</v>
      </c>
      <c r="AI100" s="47">
        <v>0</v>
      </c>
      <c r="AJ100" s="47">
        <v>1</v>
      </c>
      <c r="AK100" s="47">
        <v>1</v>
      </c>
      <c r="AL100" s="47">
        <v>1</v>
      </c>
      <c r="AM100" s="50">
        <v>0</v>
      </c>
      <c r="AN100" s="50">
        <v>0</v>
      </c>
      <c r="AO100" s="50">
        <v>0</v>
      </c>
      <c r="AP100" s="50">
        <v>0</v>
      </c>
      <c r="AQ100" s="50">
        <v>1</v>
      </c>
      <c r="AR100" s="50">
        <v>1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41">
        <f t="shared" si="10"/>
        <v>59.566414617362234</v>
      </c>
      <c r="BH100" s="41">
        <f t="shared" si="11"/>
        <v>155.72422257690445</v>
      </c>
      <c r="BI100" s="42">
        <f t="shared" si="12"/>
        <v>-0.96099473673926838</v>
      </c>
      <c r="BJ100" s="42">
        <f t="shared" si="13"/>
        <v>-0.72215595438284452</v>
      </c>
      <c r="BK100" s="42">
        <f t="shared" si="14"/>
        <v>0.74804000699260065</v>
      </c>
      <c r="BL100" s="42">
        <f t="shared" si="15"/>
        <v>-0.31928610786025297</v>
      </c>
      <c r="BM100" s="42">
        <f t="shared" si="16"/>
        <v>46.807138921397467</v>
      </c>
      <c r="BN100" s="39" t="str">
        <f t="shared" si="17"/>
        <v>C</v>
      </c>
    </row>
    <row r="101" spans="1:66" x14ac:dyDescent="0.45">
      <c r="A101" s="38">
        <v>100</v>
      </c>
      <c r="B101" s="35" t="s">
        <v>30</v>
      </c>
      <c r="C101" s="39">
        <f t="shared" si="9"/>
        <v>23</v>
      </c>
      <c r="D101" s="47">
        <v>1</v>
      </c>
      <c r="E101" s="47">
        <v>1</v>
      </c>
      <c r="F101" s="47">
        <v>1</v>
      </c>
      <c r="G101" s="47">
        <v>0</v>
      </c>
      <c r="H101" s="47">
        <v>1</v>
      </c>
      <c r="I101" s="47">
        <v>0</v>
      </c>
      <c r="J101" s="47">
        <v>1</v>
      </c>
      <c r="K101" s="47">
        <v>0</v>
      </c>
      <c r="L101" s="47">
        <v>1</v>
      </c>
      <c r="M101" s="47">
        <v>1</v>
      </c>
      <c r="N101" s="47">
        <v>0</v>
      </c>
      <c r="O101" s="47">
        <v>0</v>
      </c>
      <c r="P101" s="47">
        <v>1</v>
      </c>
      <c r="Q101" s="47">
        <v>0</v>
      </c>
      <c r="R101" s="54">
        <v>0</v>
      </c>
      <c r="S101" s="47">
        <v>1</v>
      </c>
      <c r="T101" s="47">
        <v>0</v>
      </c>
      <c r="U101" s="47">
        <v>1</v>
      </c>
      <c r="V101" s="47">
        <v>1</v>
      </c>
      <c r="W101" s="47">
        <v>0</v>
      </c>
      <c r="X101" s="47">
        <v>0</v>
      </c>
      <c r="Y101" s="47">
        <v>1</v>
      </c>
      <c r="Z101" s="47">
        <v>1</v>
      </c>
      <c r="AA101" s="47">
        <v>0</v>
      </c>
      <c r="AB101" s="47">
        <v>1</v>
      </c>
      <c r="AC101" s="47">
        <v>1</v>
      </c>
      <c r="AD101" s="47">
        <v>0</v>
      </c>
      <c r="AE101" s="47">
        <v>0</v>
      </c>
      <c r="AF101" s="47">
        <v>0</v>
      </c>
      <c r="AG101" s="47">
        <v>1</v>
      </c>
      <c r="AH101" s="47">
        <v>1</v>
      </c>
      <c r="AI101" s="47">
        <v>1</v>
      </c>
      <c r="AJ101" s="47">
        <v>0</v>
      </c>
      <c r="AK101" s="47">
        <v>1</v>
      </c>
      <c r="AL101" s="47">
        <v>1</v>
      </c>
      <c r="AM101" s="50">
        <v>1</v>
      </c>
      <c r="AN101" s="50">
        <v>0</v>
      </c>
      <c r="AO101" s="50">
        <v>1</v>
      </c>
      <c r="AP101" s="50">
        <v>0</v>
      </c>
      <c r="AQ101" s="50">
        <v>0</v>
      </c>
      <c r="AR101" s="50">
        <v>1</v>
      </c>
      <c r="AS101" s="50">
        <v>0</v>
      </c>
      <c r="AT101" s="50">
        <v>0</v>
      </c>
      <c r="AU101" s="50">
        <v>0</v>
      </c>
      <c r="AV101" s="50">
        <v>0</v>
      </c>
      <c r="AW101" s="50">
        <v>0</v>
      </c>
      <c r="AX101" s="50">
        <v>0</v>
      </c>
      <c r="AY101" s="50">
        <v>0</v>
      </c>
      <c r="AZ101" s="50">
        <v>0</v>
      </c>
      <c r="BA101" s="50">
        <v>0</v>
      </c>
      <c r="BB101" s="50">
        <v>0</v>
      </c>
      <c r="BC101" s="50">
        <v>0</v>
      </c>
      <c r="BD101" s="50">
        <v>0</v>
      </c>
      <c r="BE101" s="50">
        <v>0</v>
      </c>
      <c r="BF101" s="50">
        <v>0</v>
      </c>
      <c r="BG101" s="41">
        <f t="shared" si="10"/>
        <v>69.833356088599459</v>
      </c>
      <c r="BH101" s="41">
        <f t="shared" si="11"/>
        <v>145.45728110566722</v>
      </c>
      <c r="BI101" s="42">
        <f t="shared" si="12"/>
        <v>-0.73377066630900767</v>
      </c>
      <c r="BJ101" s="42">
        <f t="shared" si="13"/>
        <v>-0.72215595438284452</v>
      </c>
      <c r="BK101" s="42">
        <f t="shared" si="14"/>
        <v>0.74804000699260065</v>
      </c>
      <c r="BL101" s="42">
        <f t="shared" si="15"/>
        <v>-1.5526859282377974E-2</v>
      </c>
      <c r="BM101" s="42">
        <f t="shared" si="16"/>
        <v>49.844731407176219</v>
      </c>
      <c r="BN101" s="39" t="str">
        <f t="shared" si="17"/>
        <v>C</v>
      </c>
    </row>
    <row r="102" spans="1:66" x14ac:dyDescent="0.45">
      <c r="A102" s="38">
        <v>101</v>
      </c>
      <c r="B102" s="35" t="s">
        <v>507</v>
      </c>
      <c r="C102" s="39">
        <f t="shared" si="9"/>
        <v>20</v>
      </c>
      <c r="D102" s="47">
        <v>0</v>
      </c>
      <c r="E102" s="47">
        <v>1</v>
      </c>
      <c r="F102" s="47">
        <v>0</v>
      </c>
      <c r="G102" s="47">
        <v>0</v>
      </c>
      <c r="H102" s="47">
        <v>1</v>
      </c>
      <c r="I102" s="47">
        <v>1</v>
      </c>
      <c r="J102" s="47">
        <v>1</v>
      </c>
      <c r="K102" s="47">
        <v>1</v>
      </c>
      <c r="L102" s="47">
        <v>0</v>
      </c>
      <c r="M102" s="47">
        <v>1</v>
      </c>
      <c r="N102" s="47">
        <v>0</v>
      </c>
      <c r="O102" s="47">
        <v>1</v>
      </c>
      <c r="P102" s="47">
        <v>1</v>
      </c>
      <c r="Q102" s="47">
        <v>1</v>
      </c>
      <c r="R102" s="54">
        <v>0</v>
      </c>
      <c r="S102" s="47">
        <v>1</v>
      </c>
      <c r="T102" s="47">
        <v>1</v>
      </c>
      <c r="U102" s="47">
        <v>0</v>
      </c>
      <c r="V102" s="47">
        <v>1</v>
      </c>
      <c r="W102" s="47">
        <v>1</v>
      </c>
      <c r="X102" s="47">
        <v>1</v>
      </c>
      <c r="Y102" s="47">
        <v>1</v>
      </c>
      <c r="Z102" s="47">
        <v>1</v>
      </c>
      <c r="AA102" s="47">
        <v>1</v>
      </c>
      <c r="AB102" s="47">
        <v>0</v>
      </c>
      <c r="AC102" s="47">
        <v>1</v>
      </c>
      <c r="AD102" s="47">
        <v>0</v>
      </c>
      <c r="AE102" s="47">
        <v>0</v>
      </c>
      <c r="AF102" s="47">
        <v>0</v>
      </c>
      <c r="AG102" s="47">
        <v>1</v>
      </c>
      <c r="AH102" s="47">
        <v>1</v>
      </c>
      <c r="AI102" s="47">
        <v>0</v>
      </c>
      <c r="AJ102" s="47">
        <v>0</v>
      </c>
      <c r="AK102" s="47">
        <v>0</v>
      </c>
      <c r="AL102" s="47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41">
        <f t="shared" si="10"/>
        <v>56.985023848789872</v>
      </c>
      <c r="BH102" s="41">
        <f t="shared" si="11"/>
        <v>158.30561334547681</v>
      </c>
      <c r="BI102" s="42">
        <f t="shared" si="12"/>
        <v>-1.0217389326142761</v>
      </c>
      <c r="BJ102" s="42">
        <f t="shared" si="13"/>
        <v>-0.72215595438284452</v>
      </c>
      <c r="BK102" s="42">
        <f t="shared" si="14"/>
        <v>0.74804000699260065</v>
      </c>
      <c r="BL102" s="42">
        <f t="shared" si="15"/>
        <v>-0.40049058263055565</v>
      </c>
      <c r="BM102" s="42">
        <f t="shared" si="16"/>
        <v>45.99509417369444</v>
      </c>
      <c r="BN102" s="39" t="str">
        <f t="shared" si="17"/>
        <v>C</v>
      </c>
    </row>
    <row r="103" spans="1:66" x14ac:dyDescent="0.45">
      <c r="A103" s="38">
        <v>102</v>
      </c>
      <c r="B103" s="35" t="s">
        <v>31</v>
      </c>
      <c r="C103" s="39">
        <f t="shared" si="9"/>
        <v>21</v>
      </c>
      <c r="D103" s="47">
        <v>1</v>
      </c>
      <c r="E103" s="47">
        <v>1</v>
      </c>
      <c r="F103" s="47">
        <v>1</v>
      </c>
      <c r="G103" s="47">
        <v>0</v>
      </c>
      <c r="H103" s="47">
        <v>1</v>
      </c>
      <c r="I103" s="47">
        <v>1</v>
      </c>
      <c r="J103" s="47">
        <v>1</v>
      </c>
      <c r="K103" s="47">
        <v>0</v>
      </c>
      <c r="L103" s="47">
        <v>1</v>
      </c>
      <c r="M103" s="47">
        <v>1</v>
      </c>
      <c r="N103" s="47">
        <v>0</v>
      </c>
      <c r="O103" s="47">
        <v>0</v>
      </c>
      <c r="P103" s="47">
        <v>1</v>
      </c>
      <c r="Q103" s="47">
        <v>1</v>
      </c>
      <c r="R103" s="54">
        <v>0</v>
      </c>
      <c r="S103" s="47">
        <v>0</v>
      </c>
      <c r="T103" s="47">
        <v>1</v>
      </c>
      <c r="U103" s="47">
        <v>0</v>
      </c>
      <c r="V103" s="47">
        <v>1</v>
      </c>
      <c r="W103" s="47">
        <v>0</v>
      </c>
      <c r="X103" s="47">
        <v>0</v>
      </c>
      <c r="Y103" s="47">
        <v>1</v>
      </c>
      <c r="Z103" s="47">
        <v>0</v>
      </c>
      <c r="AA103" s="47">
        <v>1</v>
      </c>
      <c r="AB103" s="47">
        <v>1</v>
      </c>
      <c r="AC103" s="47">
        <v>1</v>
      </c>
      <c r="AD103" s="47">
        <v>0</v>
      </c>
      <c r="AE103" s="47">
        <v>0</v>
      </c>
      <c r="AF103" s="47">
        <v>0</v>
      </c>
      <c r="AG103" s="47">
        <v>1</v>
      </c>
      <c r="AH103" s="47">
        <v>0</v>
      </c>
      <c r="AI103" s="47">
        <v>0</v>
      </c>
      <c r="AJ103" s="47">
        <v>1</v>
      </c>
      <c r="AK103" s="47">
        <v>1</v>
      </c>
      <c r="AL103" s="47">
        <v>0</v>
      </c>
      <c r="AM103" s="50">
        <v>1</v>
      </c>
      <c r="AN103" s="50">
        <v>0</v>
      </c>
      <c r="AO103" s="50">
        <v>0</v>
      </c>
      <c r="AP103" s="5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0</v>
      </c>
      <c r="AY103" s="50">
        <v>0</v>
      </c>
      <c r="AZ103" s="50">
        <v>0</v>
      </c>
      <c r="BA103" s="50">
        <v>1</v>
      </c>
      <c r="BB103" s="50">
        <v>0</v>
      </c>
      <c r="BC103" s="50">
        <v>0</v>
      </c>
      <c r="BD103" s="50">
        <v>0</v>
      </c>
      <c r="BE103" s="50">
        <v>0</v>
      </c>
      <c r="BF103" s="50">
        <v>0</v>
      </c>
      <c r="BG103" s="41">
        <f t="shared" si="10"/>
        <v>59.238334161213466</v>
      </c>
      <c r="BH103" s="41">
        <f t="shared" si="11"/>
        <v>156.05230303305322</v>
      </c>
      <c r="BI103" s="42">
        <f t="shared" si="12"/>
        <v>-0.96862235807441199</v>
      </c>
      <c r="BJ103" s="42">
        <f t="shared" si="13"/>
        <v>-0.72215595438284452</v>
      </c>
      <c r="BK103" s="42">
        <f t="shared" si="14"/>
        <v>0.74804000699260065</v>
      </c>
      <c r="BL103" s="42">
        <f t="shared" si="15"/>
        <v>-0.32948291720713468</v>
      </c>
      <c r="BM103" s="42">
        <f t="shared" si="16"/>
        <v>46.705170827928654</v>
      </c>
      <c r="BN103" s="39" t="str">
        <f t="shared" si="17"/>
        <v>C</v>
      </c>
    </row>
    <row r="104" spans="1:66" x14ac:dyDescent="0.45">
      <c r="A104" s="38">
        <v>103</v>
      </c>
      <c r="B104" s="35" t="s">
        <v>499</v>
      </c>
      <c r="C104" s="39">
        <f t="shared" si="9"/>
        <v>26</v>
      </c>
      <c r="D104" s="47">
        <v>1</v>
      </c>
      <c r="E104" s="47">
        <v>1</v>
      </c>
      <c r="F104" s="47">
        <v>0</v>
      </c>
      <c r="G104" s="47">
        <v>0</v>
      </c>
      <c r="H104" s="47">
        <v>0</v>
      </c>
      <c r="I104" s="47">
        <v>1</v>
      </c>
      <c r="J104" s="47">
        <v>1</v>
      </c>
      <c r="K104" s="47">
        <v>0</v>
      </c>
      <c r="L104" s="47">
        <v>1</v>
      </c>
      <c r="M104" s="47">
        <v>1</v>
      </c>
      <c r="N104" s="47">
        <v>0</v>
      </c>
      <c r="O104" s="47">
        <v>1</v>
      </c>
      <c r="P104" s="47">
        <v>1</v>
      </c>
      <c r="Q104" s="47">
        <v>0</v>
      </c>
      <c r="R104" s="54">
        <v>0</v>
      </c>
      <c r="S104" s="47">
        <v>1</v>
      </c>
      <c r="T104" s="47">
        <v>1</v>
      </c>
      <c r="U104" s="47">
        <v>1</v>
      </c>
      <c r="V104" s="47">
        <v>1</v>
      </c>
      <c r="W104" s="47">
        <v>1</v>
      </c>
      <c r="X104" s="47">
        <v>1</v>
      </c>
      <c r="Y104" s="47">
        <v>1</v>
      </c>
      <c r="Z104" s="47">
        <v>1</v>
      </c>
      <c r="AA104" s="47">
        <v>1</v>
      </c>
      <c r="AB104" s="47">
        <v>0</v>
      </c>
      <c r="AC104" s="47">
        <v>1</v>
      </c>
      <c r="AD104" s="47">
        <v>0</v>
      </c>
      <c r="AE104" s="47">
        <v>0</v>
      </c>
      <c r="AF104" s="47">
        <v>1</v>
      </c>
      <c r="AG104" s="47">
        <v>1</v>
      </c>
      <c r="AH104" s="47">
        <v>1</v>
      </c>
      <c r="AI104" s="47">
        <v>0</v>
      </c>
      <c r="AJ104" s="47">
        <v>1</v>
      </c>
      <c r="AK104" s="47">
        <v>1</v>
      </c>
      <c r="AL104" s="47">
        <v>0</v>
      </c>
      <c r="AM104" s="50">
        <v>1</v>
      </c>
      <c r="AN104" s="50">
        <v>0</v>
      </c>
      <c r="AO104" s="50">
        <v>0</v>
      </c>
      <c r="AP104" s="50">
        <v>0</v>
      </c>
      <c r="AQ104" s="50">
        <v>0</v>
      </c>
      <c r="AR104" s="50">
        <v>0</v>
      </c>
      <c r="AS104" s="50">
        <v>0</v>
      </c>
      <c r="AT104" s="50">
        <v>0</v>
      </c>
      <c r="AU104" s="50">
        <v>0</v>
      </c>
      <c r="AV104" s="50">
        <v>0</v>
      </c>
      <c r="AW104" s="50">
        <v>0</v>
      </c>
      <c r="AX104" s="50">
        <v>0</v>
      </c>
      <c r="AY104" s="50">
        <v>0</v>
      </c>
      <c r="AZ104" s="50">
        <v>0</v>
      </c>
      <c r="BA104" s="50">
        <v>1</v>
      </c>
      <c r="BB104" s="50">
        <v>0</v>
      </c>
      <c r="BC104" s="50">
        <v>0</v>
      </c>
      <c r="BD104" s="50">
        <v>1</v>
      </c>
      <c r="BE104" s="50">
        <v>0</v>
      </c>
      <c r="BF104" s="50">
        <v>0</v>
      </c>
      <c r="BG104" s="41">
        <f t="shared" si="10"/>
        <v>78.213784921880418</v>
      </c>
      <c r="BH104" s="41">
        <f t="shared" si="11"/>
        <v>137.07685227238625</v>
      </c>
      <c r="BI104" s="42">
        <f t="shared" si="12"/>
        <v>-0.56109582424809978</v>
      </c>
      <c r="BJ104" s="42">
        <f t="shared" si="13"/>
        <v>-0.72215595438284452</v>
      </c>
      <c r="BK104" s="42">
        <f t="shared" si="14"/>
        <v>0.74804000699260065</v>
      </c>
      <c r="BL104" s="42">
        <f t="shared" si="15"/>
        <v>0.21530951370136797</v>
      </c>
      <c r="BM104" s="42">
        <f t="shared" si="16"/>
        <v>52.153095137013679</v>
      </c>
      <c r="BN104" s="39" t="str">
        <f t="shared" si="17"/>
        <v>C+</v>
      </c>
    </row>
    <row r="105" spans="1:66" x14ac:dyDescent="0.45">
      <c r="A105" s="38">
        <v>104</v>
      </c>
      <c r="B105" s="35" t="s">
        <v>501</v>
      </c>
      <c r="C105" s="39">
        <f t="shared" si="9"/>
        <v>27</v>
      </c>
      <c r="D105" s="47">
        <v>1</v>
      </c>
      <c r="E105" s="47">
        <v>1</v>
      </c>
      <c r="F105" s="47">
        <v>0</v>
      </c>
      <c r="G105" s="47">
        <v>0</v>
      </c>
      <c r="H105" s="47">
        <v>1</v>
      </c>
      <c r="I105" s="47">
        <v>1</v>
      </c>
      <c r="J105" s="47">
        <v>1</v>
      </c>
      <c r="K105" s="47">
        <v>0</v>
      </c>
      <c r="L105" s="47">
        <v>0</v>
      </c>
      <c r="M105" s="47">
        <v>0</v>
      </c>
      <c r="N105" s="47">
        <v>0</v>
      </c>
      <c r="O105" s="47">
        <v>1</v>
      </c>
      <c r="P105" s="47">
        <v>1</v>
      </c>
      <c r="Q105" s="47">
        <v>1</v>
      </c>
      <c r="R105" s="54">
        <v>1</v>
      </c>
      <c r="S105" s="47">
        <v>1</v>
      </c>
      <c r="T105" s="47">
        <v>1</v>
      </c>
      <c r="U105" s="47">
        <v>1</v>
      </c>
      <c r="V105" s="47">
        <v>1</v>
      </c>
      <c r="W105" s="47">
        <v>1</v>
      </c>
      <c r="X105" s="47">
        <v>1</v>
      </c>
      <c r="Y105" s="47">
        <v>1</v>
      </c>
      <c r="Z105" s="47">
        <v>0</v>
      </c>
      <c r="AA105" s="47">
        <v>0</v>
      </c>
      <c r="AB105" s="47">
        <v>1</v>
      </c>
      <c r="AC105" s="47">
        <v>1</v>
      </c>
      <c r="AD105" s="47">
        <v>0</v>
      </c>
      <c r="AE105" s="47">
        <v>0</v>
      </c>
      <c r="AF105" s="47">
        <v>0</v>
      </c>
      <c r="AG105" s="47">
        <v>1</v>
      </c>
      <c r="AH105" s="47">
        <v>1</v>
      </c>
      <c r="AI105" s="47">
        <v>1</v>
      </c>
      <c r="AJ105" s="47">
        <v>1</v>
      </c>
      <c r="AK105" s="47">
        <v>1</v>
      </c>
      <c r="AL105" s="47">
        <v>0</v>
      </c>
      <c r="AM105" s="50">
        <v>0</v>
      </c>
      <c r="AN105" s="50">
        <v>0</v>
      </c>
      <c r="AO105" s="50">
        <v>0</v>
      </c>
      <c r="AP105" s="50">
        <v>0</v>
      </c>
      <c r="AQ105" s="50">
        <v>1</v>
      </c>
      <c r="AR105" s="50">
        <v>0</v>
      </c>
      <c r="AS105" s="50">
        <v>1</v>
      </c>
      <c r="AT105" s="50">
        <v>0</v>
      </c>
      <c r="AU105" s="50">
        <v>0</v>
      </c>
      <c r="AV105" s="50">
        <v>0</v>
      </c>
      <c r="AW105" s="50">
        <v>0</v>
      </c>
      <c r="AX105" s="50">
        <v>0</v>
      </c>
      <c r="AY105" s="50">
        <v>0</v>
      </c>
      <c r="AZ105" s="50">
        <v>0</v>
      </c>
      <c r="BA105" s="50">
        <v>1</v>
      </c>
      <c r="BB105" s="50">
        <v>1</v>
      </c>
      <c r="BC105" s="50">
        <v>0</v>
      </c>
      <c r="BD105" s="50">
        <v>0</v>
      </c>
      <c r="BE105" s="50">
        <v>0</v>
      </c>
      <c r="BF105" s="50">
        <v>0</v>
      </c>
      <c r="BG105" s="41">
        <f t="shared" si="10"/>
        <v>87.548937677676079</v>
      </c>
      <c r="BH105" s="41">
        <f t="shared" si="11"/>
        <v>127.7416995165906</v>
      </c>
      <c r="BI105" s="42">
        <f t="shared" si="12"/>
        <v>-0.37781232777772639</v>
      </c>
      <c r="BJ105" s="42">
        <f t="shared" si="13"/>
        <v>-0.72215595438284452</v>
      </c>
      <c r="BK105" s="42">
        <f t="shared" si="14"/>
        <v>0.74804000699260065</v>
      </c>
      <c r="BL105" s="42">
        <f t="shared" si="15"/>
        <v>0.46032782122109717</v>
      </c>
      <c r="BM105" s="42">
        <f t="shared" si="16"/>
        <v>54.603278212210974</v>
      </c>
      <c r="BN105" s="39" t="str">
        <f t="shared" si="17"/>
        <v>C+</v>
      </c>
    </row>
    <row r="106" spans="1:66" x14ac:dyDescent="0.45">
      <c r="A106" s="38">
        <v>105</v>
      </c>
      <c r="B106" s="35" t="s">
        <v>483</v>
      </c>
      <c r="C106" s="39">
        <f t="shared" si="9"/>
        <v>27</v>
      </c>
      <c r="D106" s="47">
        <v>1</v>
      </c>
      <c r="E106" s="47">
        <v>1</v>
      </c>
      <c r="F106" s="47">
        <v>1</v>
      </c>
      <c r="G106" s="47">
        <v>0</v>
      </c>
      <c r="H106" s="47">
        <v>1</v>
      </c>
      <c r="I106" s="47">
        <v>1</v>
      </c>
      <c r="J106" s="47">
        <v>1</v>
      </c>
      <c r="K106" s="47">
        <v>1</v>
      </c>
      <c r="L106" s="47">
        <v>1</v>
      </c>
      <c r="M106" s="47">
        <v>1</v>
      </c>
      <c r="N106" s="47">
        <v>0</v>
      </c>
      <c r="O106" s="47">
        <v>1</v>
      </c>
      <c r="P106" s="47">
        <v>1</v>
      </c>
      <c r="Q106" s="47">
        <v>1</v>
      </c>
      <c r="R106" s="54">
        <v>0</v>
      </c>
      <c r="S106" s="47">
        <v>1</v>
      </c>
      <c r="T106" s="47">
        <v>1</v>
      </c>
      <c r="U106" s="47">
        <v>1</v>
      </c>
      <c r="V106" s="47">
        <v>0</v>
      </c>
      <c r="W106" s="47">
        <v>0</v>
      </c>
      <c r="X106" s="47">
        <v>1</v>
      </c>
      <c r="Y106" s="47">
        <v>1</v>
      </c>
      <c r="Z106" s="47">
        <v>1</v>
      </c>
      <c r="AA106" s="47">
        <v>1</v>
      </c>
      <c r="AB106" s="47">
        <v>1</v>
      </c>
      <c r="AC106" s="47">
        <v>0</v>
      </c>
      <c r="AD106" s="47">
        <v>0</v>
      </c>
      <c r="AE106" s="47">
        <v>1</v>
      </c>
      <c r="AF106" s="47">
        <v>0</v>
      </c>
      <c r="AG106" s="47">
        <v>1</v>
      </c>
      <c r="AH106" s="47">
        <v>0</v>
      </c>
      <c r="AI106" s="47">
        <v>1</v>
      </c>
      <c r="AJ106" s="47">
        <v>0</v>
      </c>
      <c r="AK106" s="47">
        <v>1</v>
      </c>
      <c r="AL106" s="47">
        <v>1</v>
      </c>
      <c r="AM106" s="50">
        <v>1</v>
      </c>
      <c r="AN106" s="50">
        <v>0</v>
      </c>
      <c r="AO106" s="50">
        <v>0</v>
      </c>
      <c r="AP106" s="50">
        <v>1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50">
        <v>0</v>
      </c>
      <c r="AY106" s="50">
        <v>0</v>
      </c>
      <c r="AZ106" s="50">
        <v>0</v>
      </c>
      <c r="BA106" s="50">
        <v>0</v>
      </c>
      <c r="BB106" s="50">
        <v>0</v>
      </c>
      <c r="BC106" s="50">
        <v>0</v>
      </c>
      <c r="BD106" s="50">
        <v>0</v>
      </c>
      <c r="BE106" s="50">
        <v>0</v>
      </c>
      <c r="BF106" s="50">
        <v>0</v>
      </c>
      <c r="BG106" s="41">
        <f t="shared" si="10"/>
        <v>81.941769005315791</v>
      </c>
      <c r="BH106" s="41">
        <f t="shared" si="11"/>
        <v>133.34886818895089</v>
      </c>
      <c r="BI106" s="42">
        <f t="shared" si="12"/>
        <v>-0.48695990215197932</v>
      </c>
      <c r="BJ106" s="42">
        <f t="shared" si="13"/>
        <v>-0.72215595438284452</v>
      </c>
      <c r="BK106" s="42">
        <f t="shared" si="14"/>
        <v>0.74804000699260065</v>
      </c>
      <c r="BL106" s="42">
        <f t="shared" si="15"/>
        <v>0.31441640825661304</v>
      </c>
      <c r="BM106" s="42">
        <f t="shared" si="16"/>
        <v>53.144164082566128</v>
      </c>
      <c r="BN106" s="39" t="str">
        <f t="shared" si="17"/>
        <v>C+</v>
      </c>
    </row>
    <row r="107" spans="1:66" x14ac:dyDescent="0.45">
      <c r="A107" s="38">
        <v>106</v>
      </c>
      <c r="B107" s="35" t="s">
        <v>498</v>
      </c>
      <c r="C107" s="39">
        <f t="shared" si="9"/>
        <v>23</v>
      </c>
      <c r="D107" s="47">
        <v>1</v>
      </c>
      <c r="E107" s="47">
        <v>1</v>
      </c>
      <c r="F107" s="47">
        <v>0</v>
      </c>
      <c r="G107" s="47">
        <v>1</v>
      </c>
      <c r="H107" s="47">
        <v>1</v>
      </c>
      <c r="I107" s="47">
        <v>1</v>
      </c>
      <c r="J107" s="47">
        <v>1</v>
      </c>
      <c r="K107" s="47">
        <v>0</v>
      </c>
      <c r="L107" s="47">
        <v>0</v>
      </c>
      <c r="M107" s="47">
        <v>1</v>
      </c>
      <c r="N107" s="47">
        <v>0</v>
      </c>
      <c r="O107" s="47">
        <v>0</v>
      </c>
      <c r="P107" s="47">
        <v>0</v>
      </c>
      <c r="Q107" s="47">
        <v>0</v>
      </c>
      <c r="R107" s="54">
        <v>0</v>
      </c>
      <c r="S107" s="47">
        <v>1</v>
      </c>
      <c r="T107" s="47">
        <v>1</v>
      </c>
      <c r="U107" s="47">
        <v>1</v>
      </c>
      <c r="V107" s="47">
        <v>1</v>
      </c>
      <c r="W107" s="47">
        <v>1</v>
      </c>
      <c r="X107" s="47">
        <v>0</v>
      </c>
      <c r="Y107" s="47">
        <v>1</v>
      </c>
      <c r="Z107" s="47">
        <v>1</v>
      </c>
      <c r="AA107" s="47">
        <v>0</v>
      </c>
      <c r="AB107" s="47">
        <v>1</v>
      </c>
      <c r="AC107" s="47">
        <v>1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1</v>
      </c>
      <c r="AK107" s="47">
        <v>1</v>
      </c>
      <c r="AL107" s="47">
        <v>1</v>
      </c>
      <c r="AM107" s="50">
        <v>0</v>
      </c>
      <c r="AN107" s="50">
        <v>0</v>
      </c>
      <c r="AO107" s="50">
        <v>0</v>
      </c>
      <c r="AP107" s="50">
        <v>1</v>
      </c>
      <c r="AQ107" s="50">
        <v>0</v>
      </c>
      <c r="AR107" s="50">
        <v>0</v>
      </c>
      <c r="AS107" s="50">
        <v>0</v>
      </c>
      <c r="AT107" s="50">
        <v>0</v>
      </c>
      <c r="AU107" s="50">
        <v>0</v>
      </c>
      <c r="AV107" s="50">
        <v>0</v>
      </c>
      <c r="AW107" s="50">
        <v>0</v>
      </c>
      <c r="AX107" s="50">
        <v>0</v>
      </c>
      <c r="AY107" s="50">
        <v>0</v>
      </c>
      <c r="AZ107" s="50">
        <v>0</v>
      </c>
      <c r="BA107" s="50">
        <v>1</v>
      </c>
      <c r="BB107" s="50">
        <v>1</v>
      </c>
      <c r="BC107" s="50">
        <v>0</v>
      </c>
      <c r="BD107" s="50">
        <v>1</v>
      </c>
      <c r="BE107" s="50">
        <v>0</v>
      </c>
      <c r="BF107" s="50">
        <v>0</v>
      </c>
      <c r="BG107" s="41">
        <f t="shared" si="10"/>
        <v>71.007358035995694</v>
      </c>
      <c r="BH107" s="41">
        <f t="shared" si="11"/>
        <v>144.283279158271</v>
      </c>
      <c r="BI107" s="42">
        <f t="shared" si="12"/>
        <v>-0.70899507753522772</v>
      </c>
      <c r="BJ107" s="42">
        <f t="shared" si="13"/>
        <v>-0.72215595438284452</v>
      </c>
      <c r="BK107" s="42">
        <f t="shared" si="14"/>
        <v>0.74804000699260065</v>
      </c>
      <c r="BL107" s="42">
        <f t="shared" si="15"/>
        <v>1.7593814133723174E-2</v>
      </c>
      <c r="BM107" s="42">
        <f t="shared" si="16"/>
        <v>50.175938141337234</v>
      </c>
      <c r="BN107" s="39" t="str">
        <f t="shared" si="17"/>
        <v>C+</v>
      </c>
    </row>
    <row r="108" spans="1:66" x14ac:dyDescent="0.45">
      <c r="A108" s="38">
        <v>107</v>
      </c>
      <c r="B108" s="35" t="s">
        <v>502</v>
      </c>
      <c r="C108" s="39">
        <f t="shared" si="9"/>
        <v>20</v>
      </c>
      <c r="D108" s="47">
        <v>1</v>
      </c>
      <c r="E108" s="47">
        <v>1</v>
      </c>
      <c r="F108" s="47">
        <v>1</v>
      </c>
      <c r="G108" s="47">
        <v>1</v>
      </c>
      <c r="H108" s="47">
        <v>0</v>
      </c>
      <c r="I108" s="47">
        <v>1</v>
      </c>
      <c r="J108" s="47">
        <v>1</v>
      </c>
      <c r="K108" s="47">
        <v>1</v>
      </c>
      <c r="L108" s="47">
        <v>1</v>
      </c>
      <c r="M108" s="47">
        <v>0</v>
      </c>
      <c r="N108" s="47">
        <v>0</v>
      </c>
      <c r="O108" s="47">
        <v>0</v>
      </c>
      <c r="P108" s="47">
        <v>1</v>
      </c>
      <c r="Q108" s="47">
        <v>1</v>
      </c>
      <c r="R108" s="54">
        <v>0</v>
      </c>
      <c r="S108" s="47">
        <v>1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1</v>
      </c>
      <c r="Z108" s="47">
        <v>1</v>
      </c>
      <c r="AA108" s="47">
        <v>1</v>
      </c>
      <c r="AB108" s="47">
        <v>1</v>
      </c>
      <c r="AC108" s="47">
        <v>0</v>
      </c>
      <c r="AD108" s="47">
        <v>1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1</v>
      </c>
      <c r="AK108" s="47">
        <v>1</v>
      </c>
      <c r="AL108" s="47">
        <v>1</v>
      </c>
      <c r="AM108" s="50">
        <v>0</v>
      </c>
      <c r="AN108" s="50">
        <v>0</v>
      </c>
      <c r="AO108" s="50">
        <v>0</v>
      </c>
      <c r="AP108" s="50">
        <v>0</v>
      </c>
      <c r="AQ108" s="50">
        <v>0</v>
      </c>
      <c r="AR108" s="50">
        <v>0</v>
      </c>
      <c r="AS108" s="50">
        <v>0</v>
      </c>
      <c r="AT108" s="50">
        <v>0</v>
      </c>
      <c r="AU108" s="50">
        <v>0</v>
      </c>
      <c r="AV108" s="50">
        <v>0</v>
      </c>
      <c r="AW108" s="50">
        <v>0</v>
      </c>
      <c r="AX108" s="50">
        <v>0</v>
      </c>
      <c r="AY108" s="50">
        <v>0</v>
      </c>
      <c r="AZ108" s="50">
        <v>0</v>
      </c>
      <c r="BA108" s="50">
        <v>0</v>
      </c>
      <c r="BB108" s="50">
        <v>0</v>
      </c>
      <c r="BC108" s="50">
        <v>0</v>
      </c>
      <c r="BD108" s="50">
        <v>1</v>
      </c>
      <c r="BE108" s="50">
        <v>0</v>
      </c>
      <c r="BF108" s="50">
        <v>0</v>
      </c>
      <c r="BG108" s="41">
        <f t="shared" si="10"/>
        <v>61.323016898911909</v>
      </c>
      <c r="BH108" s="41">
        <f t="shared" si="11"/>
        <v>153.96762029535478</v>
      </c>
      <c r="BI108" s="42">
        <f t="shared" si="12"/>
        <v>-0.92058707042590526</v>
      </c>
      <c r="BJ108" s="42">
        <f t="shared" si="13"/>
        <v>-0.72215595438284452</v>
      </c>
      <c r="BK108" s="42">
        <f t="shared" si="14"/>
        <v>0.74804000699260065</v>
      </c>
      <c r="BL108" s="42">
        <f t="shared" si="15"/>
        <v>-0.26526805276208115</v>
      </c>
      <c r="BM108" s="42">
        <f t="shared" si="16"/>
        <v>47.347319472379191</v>
      </c>
      <c r="BN108" s="39" t="str">
        <f t="shared" si="17"/>
        <v>C</v>
      </c>
    </row>
    <row r="109" spans="1:66" s="37" customFormat="1" x14ac:dyDescent="0.45">
      <c r="A109" s="38">
        <v>108</v>
      </c>
      <c r="B109" s="35" t="s">
        <v>521</v>
      </c>
      <c r="C109" s="39">
        <f t="shared" si="9"/>
        <v>24</v>
      </c>
      <c r="D109" s="47">
        <v>0</v>
      </c>
      <c r="E109" s="47">
        <v>1</v>
      </c>
      <c r="F109" s="47">
        <v>1</v>
      </c>
      <c r="G109" s="47">
        <v>0</v>
      </c>
      <c r="H109" s="47">
        <v>0</v>
      </c>
      <c r="I109" s="47">
        <v>0</v>
      </c>
      <c r="J109" s="47">
        <v>1</v>
      </c>
      <c r="K109" s="47">
        <v>1</v>
      </c>
      <c r="L109" s="47">
        <v>0</v>
      </c>
      <c r="M109" s="47">
        <v>1</v>
      </c>
      <c r="N109" s="47">
        <v>1</v>
      </c>
      <c r="O109" s="47">
        <v>1</v>
      </c>
      <c r="P109" s="47">
        <v>1</v>
      </c>
      <c r="Q109" s="47">
        <v>0</v>
      </c>
      <c r="R109" s="54">
        <v>1</v>
      </c>
      <c r="S109" s="47">
        <v>1</v>
      </c>
      <c r="T109" s="47">
        <v>1</v>
      </c>
      <c r="U109" s="47">
        <v>0</v>
      </c>
      <c r="V109" s="47">
        <v>1</v>
      </c>
      <c r="W109" s="47">
        <v>1</v>
      </c>
      <c r="X109" s="47">
        <v>0</v>
      </c>
      <c r="Y109" s="47">
        <v>0</v>
      </c>
      <c r="Z109" s="47">
        <v>0</v>
      </c>
      <c r="AA109" s="47">
        <v>1</v>
      </c>
      <c r="AB109" s="47">
        <v>1</v>
      </c>
      <c r="AC109" s="47">
        <v>0</v>
      </c>
      <c r="AD109" s="47">
        <v>0</v>
      </c>
      <c r="AE109" s="47">
        <v>0</v>
      </c>
      <c r="AF109" s="47">
        <v>1</v>
      </c>
      <c r="AG109" s="47">
        <v>0</v>
      </c>
      <c r="AH109" s="47">
        <v>0</v>
      </c>
      <c r="AI109" s="47">
        <v>0</v>
      </c>
      <c r="AJ109" s="47">
        <v>1</v>
      </c>
      <c r="AK109" s="47">
        <v>1</v>
      </c>
      <c r="AL109" s="47">
        <v>1</v>
      </c>
      <c r="AM109" s="47">
        <v>0</v>
      </c>
      <c r="AN109" s="47">
        <v>0</v>
      </c>
      <c r="AO109" s="47">
        <v>0</v>
      </c>
      <c r="AP109" s="47">
        <v>0</v>
      </c>
      <c r="AQ109" s="47">
        <v>1</v>
      </c>
      <c r="AR109" s="47">
        <v>0</v>
      </c>
      <c r="AS109" s="47">
        <v>0</v>
      </c>
      <c r="AT109" s="47">
        <v>0</v>
      </c>
      <c r="AU109" s="47">
        <v>1</v>
      </c>
      <c r="AV109" s="47">
        <v>1</v>
      </c>
      <c r="AW109" s="47">
        <v>0</v>
      </c>
      <c r="AX109" s="47">
        <v>0</v>
      </c>
      <c r="AY109" s="47">
        <v>0</v>
      </c>
      <c r="AZ109" s="47">
        <v>0</v>
      </c>
      <c r="BA109" s="47">
        <v>1</v>
      </c>
      <c r="BB109" s="47">
        <v>1</v>
      </c>
      <c r="BC109" s="47">
        <v>0</v>
      </c>
      <c r="BD109" s="47">
        <v>0</v>
      </c>
      <c r="BE109" s="47">
        <v>0</v>
      </c>
      <c r="BF109" s="47">
        <v>0</v>
      </c>
      <c r="BG109" s="41">
        <f t="shared" si="10"/>
        <v>80.151712851779237</v>
      </c>
      <c r="BH109" s="41">
        <f t="shared" si="11"/>
        <v>135.13892434248743</v>
      </c>
      <c r="BI109" s="42">
        <f t="shared" si="12"/>
        <v>-0.52238206910868057</v>
      </c>
      <c r="BJ109" s="42">
        <f t="shared" si="13"/>
        <v>-0.72215595438284452</v>
      </c>
      <c r="BK109" s="42">
        <f t="shared" si="14"/>
        <v>0.74804000699260065</v>
      </c>
      <c r="BL109" s="42">
        <f t="shared" si="15"/>
        <v>0.26706310278420714</v>
      </c>
      <c r="BM109" s="42">
        <f t="shared" si="16"/>
        <v>52.67063102784207</v>
      </c>
      <c r="BN109" s="39" t="str">
        <f t="shared" si="17"/>
        <v>C+</v>
      </c>
    </row>
    <row r="110" spans="1:66" x14ac:dyDescent="0.45">
      <c r="A110" s="38">
        <v>109</v>
      </c>
      <c r="B110" s="35" t="s">
        <v>506</v>
      </c>
      <c r="C110" s="39">
        <f t="shared" si="9"/>
        <v>17</v>
      </c>
      <c r="D110" s="47">
        <v>1</v>
      </c>
      <c r="E110" s="47">
        <v>1</v>
      </c>
      <c r="F110" s="47">
        <v>1</v>
      </c>
      <c r="G110" s="47">
        <v>1</v>
      </c>
      <c r="H110" s="47">
        <v>0</v>
      </c>
      <c r="I110" s="47">
        <v>1</v>
      </c>
      <c r="J110" s="47">
        <v>1</v>
      </c>
      <c r="K110" s="47">
        <v>1</v>
      </c>
      <c r="L110" s="47">
        <v>1</v>
      </c>
      <c r="M110" s="47">
        <v>0</v>
      </c>
      <c r="N110" s="47">
        <v>0</v>
      </c>
      <c r="O110" s="47">
        <v>0</v>
      </c>
      <c r="P110" s="47">
        <v>1</v>
      </c>
      <c r="Q110" s="47">
        <v>0</v>
      </c>
      <c r="R110" s="54">
        <v>0</v>
      </c>
      <c r="S110" s="47">
        <v>0</v>
      </c>
      <c r="T110" s="47">
        <v>0</v>
      </c>
      <c r="U110" s="47">
        <v>0</v>
      </c>
      <c r="V110" s="47">
        <v>1</v>
      </c>
      <c r="W110" s="47">
        <v>0</v>
      </c>
      <c r="X110" s="47">
        <v>0</v>
      </c>
      <c r="Y110" s="47">
        <v>1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1</v>
      </c>
      <c r="AF110" s="47">
        <v>0</v>
      </c>
      <c r="AG110" s="47">
        <v>0</v>
      </c>
      <c r="AH110" s="47">
        <v>0</v>
      </c>
      <c r="AI110" s="47">
        <v>1</v>
      </c>
      <c r="AJ110" s="47">
        <v>0</v>
      </c>
      <c r="AK110" s="47">
        <v>1</v>
      </c>
      <c r="AL110" s="47">
        <v>1</v>
      </c>
      <c r="AM110" s="50">
        <v>1</v>
      </c>
      <c r="AN110" s="50">
        <v>0</v>
      </c>
      <c r="AO110" s="50">
        <v>0</v>
      </c>
      <c r="AP110" s="50">
        <v>0</v>
      </c>
      <c r="AQ110" s="50">
        <v>0</v>
      </c>
      <c r="AR110" s="50">
        <v>0</v>
      </c>
      <c r="AS110" s="50">
        <v>0</v>
      </c>
      <c r="AT110" s="50">
        <v>0</v>
      </c>
      <c r="AU110" s="50">
        <v>1</v>
      </c>
      <c r="AV110" s="50">
        <v>0</v>
      </c>
      <c r="AW110" s="50">
        <v>0</v>
      </c>
      <c r="AX110" s="50">
        <v>0</v>
      </c>
      <c r="AY110" s="50">
        <v>0</v>
      </c>
      <c r="AZ110" s="50">
        <v>0</v>
      </c>
      <c r="BA110" s="50">
        <v>0</v>
      </c>
      <c r="BB110" s="50">
        <v>0</v>
      </c>
      <c r="BC110" s="50">
        <v>0</v>
      </c>
      <c r="BD110" s="50">
        <v>0</v>
      </c>
      <c r="BE110" s="50">
        <v>0</v>
      </c>
      <c r="BF110" s="50">
        <v>0</v>
      </c>
      <c r="BG110" s="41">
        <f t="shared" si="10"/>
        <v>50.586580472077664</v>
      </c>
      <c r="BH110" s="41">
        <f t="shared" si="11"/>
        <v>164.70405672218902</v>
      </c>
      <c r="BI110" s="42">
        <f t="shared" si="12"/>
        <v>-1.1804639348011032</v>
      </c>
      <c r="BJ110" s="42">
        <f t="shared" si="13"/>
        <v>-0.72215595438284452</v>
      </c>
      <c r="BK110" s="42">
        <f t="shared" si="14"/>
        <v>0.74804000699260065</v>
      </c>
      <c r="BL110" s="42">
        <f t="shared" si="15"/>
        <v>-0.61267843448751813</v>
      </c>
      <c r="BM110" s="42">
        <f t="shared" si="16"/>
        <v>43.873215655124817</v>
      </c>
      <c r="BN110" s="39" t="str">
        <f t="shared" si="17"/>
        <v>NC</v>
      </c>
    </row>
    <row r="111" spans="1:66" s="37" customFormat="1" x14ac:dyDescent="0.45">
      <c r="A111" s="38">
        <v>110</v>
      </c>
      <c r="B111" s="35" t="s">
        <v>520</v>
      </c>
      <c r="C111" s="39">
        <f t="shared" si="9"/>
        <v>24</v>
      </c>
      <c r="D111" s="47">
        <v>1</v>
      </c>
      <c r="E111" s="47">
        <v>1</v>
      </c>
      <c r="F111" s="47">
        <v>1</v>
      </c>
      <c r="G111" s="47">
        <v>1</v>
      </c>
      <c r="H111" s="47">
        <v>1</v>
      </c>
      <c r="I111" s="47">
        <v>0</v>
      </c>
      <c r="J111" s="47">
        <v>1</v>
      </c>
      <c r="K111" s="47">
        <v>0</v>
      </c>
      <c r="L111" s="47">
        <v>1</v>
      </c>
      <c r="M111" s="47">
        <v>0</v>
      </c>
      <c r="N111" s="47">
        <v>0</v>
      </c>
      <c r="O111" s="47">
        <v>1</v>
      </c>
      <c r="P111" s="47">
        <v>1</v>
      </c>
      <c r="Q111" s="47">
        <v>1</v>
      </c>
      <c r="R111" s="54">
        <v>1</v>
      </c>
      <c r="S111" s="47">
        <v>0</v>
      </c>
      <c r="T111" s="47">
        <v>1</v>
      </c>
      <c r="U111" s="47">
        <v>1</v>
      </c>
      <c r="V111" s="47">
        <v>0</v>
      </c>
      <c r="W111" s="47">
        <v>0</v>
      </c>
      <c r="X111" s="47">
        <v>0</v>
      </c>
      <c r="Y111" s="47">
        <v>0</v>
      </c>
      <c r="Z111" s="47">
        <v>1</v>
      </c>
      <c r="AA111" s="47">
        <v>0</v>
      </c>
      <c r="AB111" s="47">
        <v>1</v>
      </c>
      <c r="AC111" s="47">
        <v>1</v>
      </c>
      <c r="AD111" s="47">
        <v>1</v>
      </c>
      <c r="AE111" s="47">
        <v>1</v>
      </c>
      <c r="AF111" s="47">
        <v>0</v>
      </c>
      <c r="AG111" s="47">
        <v>0</v>
      </c>
      <c r="AH111" s="47">
        <v>1</v>
      </c>
      <c r="AI111" s="47">
        <v>1</v>
      </c>
      <c r="AJ111" s="47">
        <v>1</v>
      </c>
      <c r="AK111" s="47">
        <v>1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1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1</v>
      </c>
      <c r="BE111" s="47">
        <v>0</v>
      </c>
      <c r="BF111" s="47">
        <v>0</v>
      </c>
      <c r="BG111" s="41">
        <f t="shared" si="10"/>
        <v>76.05175781603603</v>
      </c>
      <c r="BH111" s="41">
        <f t="shared" si="11"/>
        <v>139.23887937823065</v>
      </c>
      <c r="BI111" s="42">
        <f t="shared" si="12"/>
        <v>-0.60477688238978766</v>
      </c>
      <c r="BJ111" s="42">
        <f t="shared" si="13"/>
        <v>-0.72215595438284452</v>
      </c>
      <c r="BK111" s="42">
        <f t="shared" si="14"/>
        <v>0.74804000699260065</v>
      </c>
      <c r="BL111" s="42">
        <f t="shared" si="15"/>
        <v>0.15691550036870947</v>
      </c>
      <c r="BM111" s="42">
        <f t="shared" si="16"/>
        <v>51.569155003687094</v>
      </c>
      <c r="BN111" s="39" t="str">
        <f t="shared" si="17"/>
        <v>C+</v>
      </c>
    </row>
    <row r="112" spans="1:66" x14ac:dyDescent="0.45">
      <c r="A112" s="38">
        <v>111</v>
      </c>
      <c r="B112" s="35" t="s">
        <v>508</v>
      </c>
      <c r="C112" s="39">
        <f t="shared" si="9"/>
        <v>32</v>
      </c>
      <c r="D112" s="47">
        <v>1</v>
      </c>
      <c r="E112" s="47">
        <v>1</v>
      </c>
      <c r="F112" s="47">
        <v>1</v>
      </c>
      <c r="G112" s="47">
        <v>1</v>
      </c>
      <c r="H112" s="47">
        <v>0</v>
      </c>
      <c r="I112" s="47">
        <v>1</v>
      </c>
      <c r="J112" s="47">
        <v>1</v>
      </c>
      <c r="K112" s="47">
        <v>1</v>
      </c>
      <c r="L112" s="47">
        <v>1</v>
      </c>
      <c r="M112" s="47">
        <v>1</v>
      </c>
      <c r="N112" s="47">
        <v>1</v>
      </c>
      <c r="O112" s="47">
        <v>1</v>
      </c>
      <c r="P112" s="47">
        <v>1</v>
      </c>
      <c r="Q112" s="47">
        <v>1</v>
      </c>
      <c r="R112" s="54">
        <v>0</v>
      </c>
      <c r="S112" s="47">
        <v>0</v>
      </c>
      <c r="T112" s="47">
        <v>1</v>
      </c>
      <c r="U112" s="47">
        <v>1</v>
      </c>
      <c r="V112" s="47">
        <v>1</v>
      </c>
      <c r="W112" s="47">
        <v>1</v>
      </c>
      <c r="X112" s="47">
        <v>0</v>
      </c>
      <c r="Y112" s="47">
        <v>1</v>
      </c>
      <c r="Z112" s="47">
        <v>0</v>
      </c>
      <c r="AA112" s="47">
        <v>0</v>
      </c>
      <c r="AB112" s="47">
        <v>1</v>
      </c>
      <c r="AC112" s="47">
        <v>1</v>
      </c>
      <c r="AD112" s="47">
        <v>0</v>
      </c>
      <c r="AE112" s="47">
        <v>1</v>
      </c>
      <c r="AF112" s="47">
        <v>1</v>
      </c>
      <c r="AG112" s="47">
        <v>0</v>
      </c>
      <c r="AH112" s="47">
        <v>1</v>
      </c>
      <c r="AI112" s="47">
        <v>0</v>
      </c>
      <c r="AJ112" s="47">
        <v>1</v>
      </c>
      <c r="AK112" s="47">
        <v>1</v>
      </c>
      <c r="AL112" s="47">
        <v>1</v>
      </c>
      <c r="AM112" s="50">
        <v>0</v>
      </c>
      <c r="AN112" s="50">
        <v>0</v>
      </c>
      <c r="AO112" s="50">
        <v>1</v>
      </c>
      <c r="AP112" s="50">
        <v>0</v>
      </c>
      <c r="AQ112" s="50">
        <v>1</v>
      </c>
      <c r="AR112" s="50">
        <v>1</v>
      </c>
      <c r="AS112" s="50">
        <v>1</v>
      </c>
      <c r="AT112" s="50">
        <v>1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1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41">
        <f t="shared" si="10"/>
        <v>103.97755517856942</v>
      </c>
      <c r="BH112" s="41">
        <f t="shared" si="11"/>
        <v>111.31308201569726</v>
      </c>
      <c r="BI112" s="42">
        <f t="shared" si="12"/>
        <v>-6.8171729441373993E-2</v>
      </c>
      <c r="BJ112" s="42">
        <f t="shared" si="13"/>
        <v>-0.72215595438284452</v>
      </c>
      <c r="BK112" s="42">
        <f t="shared" si="14"/>
        <v>0.74804000699260065</v>
      </c>
      <c r="BL112" s="42">
        <f t="shared" si="15"/>
        <v>0.8742637009091675</v>
      </c>
      <c r="BM112" s="42">
        <f t="shared" si="16"/>
        <v>58.742637009091673</v>
      </c>
      <c r="BN112" s="39" t="str">
        <f t="shared" si="17"/>
        <v>B</v>
      </c>
    </row>
    <row r="113" spans="1:66" s="37" customFormat="1" x14ac:dyDescent="0.45">
      <c r="A113" s="38">
        <v>112</v>
      </c>
      <c r="B113" s="35" t="s">
        <v>462</v>
      </c>
      <c r="C113" s="39">
        <f t="shared" si="9"/>
        <v>28</v>
      </c>
      <c r="D113" s="47">
        <v>1</v>
      </c>
      <c r="E113" s="47">
        <v>1</v>
      </c>
      <c r="F113" s="47">
        <v>1</v>
      </c>
      <c r="G113" s="47">
        <v>1</v>
      </c>
      <c r="H113" s="47">
        <v>0</v>
      </c>
      <c r="I113" s="47">
        <v>1</v>
      </c>
      <c r="J113" s="47">
        <v>1</v>
      </c>
      <c r="K113" s="47">
        <v>1</v>
      </c>
      <c r="L113" s="47">
        <v>1</v>
      </c>
      <c r="M113" s="47">
        <v>1</v>
      </c>
      <c r="N113" s="47">
        <v>0</v>
      </c>
      <c r="O113" s="47">
        <v>1</v>
      </c>
      <c r="P113" s="47">
        <v>1</v>
      </c>
      <c r="Q113" s="47">
        <v>1</v>
      </c>
      <c r="R113" s="54">
        <v>0</v>
      </c>
      <c r="S113" s="47">
        <v>0</v>
      </c>
      <c r="T113" s="47">
        <v>1</v>
      </c>
      <c r="U113" s="47">
        <v>0</v>
      </c>
      <c r="V113" s="47">
        <v>1</v>
      </c>
      <c r="W113" s="47">
        <v>0</v>
      </c>
      <c r="X113" s="47">
        <v>0</v>
      </c>
      <c r="Y113" s="47">
        <v>1</v>
      </c>
      <c r="Z113" s="47">
        <v>0</v>
      </c>
      <c r="AA113" s="47">
        <v>1</v>
      </c>
      <c r="AB113" s="47">
        <v>1</v>
      </c>
      <c r="AC113" s="47">
        <v>1</v>
      </c>
      <c r="AD113" s="47">
        <v>0</v>
      </c>
      <c r="AE113" s="47">
        <v>1</v>
      </c>
      <c r="AF113" s="47">
        <v>0</v>
      </c>
      <c r="AG113" s="47">
        <v>0</v>
      </c>
      <c r="AH113" s="47">
        <v>0</v>
      </c>
      <c r="AI113" s="47">
        <v>0</v>
      </c>
      <c r="AJ113" s="47">
        <v>1</v>
      </c>
      <c r="AK113" s="47">
        <v>1</v>
      </c>
      <c r="AL113" s="47">
        <v>1</v>
      </c>
      <c r="AM113" s="50">
        <v>0</v>
      </c>
      <c r="AN113" s="50">
        <v>0</v>
      </c>
      <c r="AO113" s="50">
        <v>0</v>
      </c>
      <c r="AP113" s="50">
        <v>1</v>
      </c>
      <c r="AQ113" s="50">
        <v>0</v>
      </c>
      <c r="AR113" s="50">
        <v>0</v>
      </c>
      <c r="AS113" s="50">
        <v>0</v>
      </c>
      <c r="AT113" s="50">
        <v>0</v>
      </c>
      <c r="AU113" s="50">
        <v>1</v>
      </c>
      <c r="AV113" s="50">
        <v>1</v>
      </c>
      <c r="AW113" s="50">
        <v>0</v>
      </c>
      <c r="AX113" s="50">
        <v>0</v>
      </c>
      <c r="AY113" s="50">
        <v>1</v>
      </c>
      <c r="AZ113" s="50">
        <v>0</v>
      </c>
      <c r="BA113" s="50">
        <v>1</v>
      </c>
      <c r="BB113" s="50">
        <v>1</v>
      </c>
      <c r="BC113" s="50">
        <v>0</v>
      </c>
      <c r="BD113" s="50">
        <v>0</v>
      </c>
      <c r="BE113" s="50">
        <v>0</v>
      </c>
      <c r="BF113" s="50">
        <v>0</v>
      </c>
      <c r="BG113" s="41">
        <f t="shared" si="10"/>
        <v>90.93976257912378</v>
      </c>
      <c r="BH113" s="41">
        <f t="shared" si="11"/>
        <v>124.3508746151429</v>
      </c>
      <c r="BI113" s="42">
        <f t="shared" si="12"/>
        <v>-0.31290986606852728</v>
      </c>
      <c r="BJ113" s="42">
        <f t="shared" si="13"/>
        <v>-0.72215595438284452</v>
      </c>
      <c r="BK113" s="42">
        <f t="shared" si="14"/>
        <v>0.74804000699260065</v>
      </c>
      <c r="BL113" s="42">
        <f t="shared" si="15"/>
        <v>0.5470911775957531</v>
      </c>
      <c r="BM113" s="42">
        <f t="shared" si="16"/>
        <v>55.470911775957532</v>
      </c>
      <c r="BN113" s="39" t="str">
        <f t="shared" si="17"/>
        <v>B</v>
      </c>
    </row>
    <row r="114" spans="1:66" x14ac:dyDescent="0.45">
      <c r="A114" s="38">
        <v>113</v>
      </c>
      <c r="B114" s="35" t="s">
        <v>484</v>
      </c>
      <c r="C114" s="39">
        <f t="shared" si="9"/>
        <v>21</v>
      </c>
      <c r="D114" s="47">
        <v>1</v>
      </c>
      <c r="E114" s="47">
        <v>1</v>
      </c>
      <c r="F114" s="47">
        <v>0</v>
      </c>
      <c r="G114" s="47">
        <v>0</v>
      </c>
      <c r="H114" s="47">
        <v>0</v>
      </c>
      <c r="I114" s="47">
        <v>0</v>
      </c>
      <c r="J114" s="47">
        <v>1</v>
      </c>
      <c r="K114" s="47">
        <v>1</v>
      </c>
      <c r="L114" s="47">
        <v>1</v>
      </c>
      <c r="M114" s="47">
        <v>1</v>
      </c>
      <c r="N114" s="47">
        <v>0</v>
      </c>
      <c r="O114" s="47">
        <v>0</v>
      </c>
      <c r="P114" s="47">
        <v>1</v>
      </c>
      <c r="Q114" s="47">
        <v>1</v>
      </c>
      <c r="R114" s="54">
        <v>0</v>
      </c>
      <c r="S114" s="47">
        <v>1</v>
      </c>
      <c r="T114" s="47">
        <v>1</v>
      </c>
      <c r="U114" s="47">
        <v>1</v>
      </c>
      <c r="V114" s="47">
        <v>1</v>
      </c>
      <c r="W114" s="47">
        <v>0</v>
      </c>
      <c r="X114" s="47">
        <v>0</v>
      </c>
      <c r="Y114" s="47">
        <v>1</v>
      </c>
      <c r="Z114" s="47">
        <v>1</v>
      </c>
      <c r="AA114" s="47">
        <v>1</v>
      </c>
      <c r="AB114" s="47">
        <v>0</v>
      </c>
      <c r="AC114" s="47">
        <v>1</v>
      </c>
      <c r="AD114" s="47">
        <v>0</v>
      </c>
      <c r="AE114" s="47">
        <v>1</v>
      </c>
      <c r="AF114" s="47">
        <v>1</v>
      </c>
      <c r="AG114" s="47">
        <v>0</v>
      </c>
      <c r="AH114" s="47">
        <v>0</v>
      </c>
      <c r="AI114" s="47">
        <v>0</v>
      </c>
      <c r="AJ114" s="47">
        <v>0</v>
      </c>
      <c r="AK114" s="47">
        <v>0</v>
      </c>
      <c r="AL114" s="47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1</v>
      </c>
      <c r="AR114" s="50">
        <v>1</v>
      </c>
      <c r="AS114" s="50">
        <v>0</v>
      </c>
      <c r="AT114" s="50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50">
        <v>0</v>
      </c>
      <c r="BA114" s="50">
        <v>0</v>
      </c>
      <c r="BB114" s="50">
        <v>0</v>
      </c>
      <c r="BC114" s="50">
        <v>0</v>
      </c>
      <c r="BD114" s="50">
        <v>1</v>
      </c>
      <c r="BE114" s="50">
        <v>0</v>
      </c>
      <c r="BF114" s="50">
        <v>0</v>
      </c>
      <c r="BG114" s="41">
        <f t="shared" si="10"/>
        <v>62.551999153244189</v>
      </c>
      <c r="BH114" s="41">
        <f t="shared" si="11"/>
        <v>152.73863804102248</v>
      </c>
      <c r="BI114" s="42">
        <f t="shared" si="12"/>
        <v>-0.89273001528962748</v>
      </c>
      <c r="BJ114" s="42">
        <f t="shared" si="13"/>
        <v>-0.72215595438284452</v>
      </c>
      <c r="BK114" s="42">
        <f t="shared" si="14"/>
        <v>0.74804000699260065</v>
      </c>
      <c r="BL114" s="42">
        <f t="shared" si="15"/>
        <v>-0.22802799223607598</v>
      </c>
      <c r="BM114" s="42">
        <f t="shared" si="16"/>
        <v>47.719720077639238</v>
      </c>
      <c r="BN114" s="39" t="str">
        <f t="shared" si="17"/>
        <v>C</v>
      </c>
    </row>
    <row r="115" spans="1:66" x14ac:dyDescent="0.45">
      <c r="A115" s="38">
        <v>114</v>
      </c>
      <c r="B115" s="35" t="s">
        <v>455</v>
      </c>
      <c r="C115" s="39">
        <f t="shared" si="9"/>
        <v>10</v>
      </c>
      <c r="D115" s="47">
        <v>1</v>
      </c>
      <c r="E115" s="47">
        <v>1</v>
      </c>
      <c r="F115" s="47">
        <v>1</v>
      </c>
      <c r="G115" s="47">
        <v>0</v>
      </c>
      <c r="H115" s="47">
        <v>0</v>
      </c>
      <c r="I115" s="47">
        <v>0</v>
      </c>
      <c r="J115" s="47">
        <v>1</v>
      </c>
      <c r="K115" s="47">
        <v>1</v>
      </c>
      <c r="L115" s="47">
        <v>0</v>
      </c>
      <c r="M115" s="47">
        <v>1</v>
      </c>
      <c r="N115" s="47">
        <v>0</v>
      </c>
      <c r="O115" s="47">
        <v>0</v>
      </c>
      <c r="P115" s="47">
        <v>0</v>
      </c>
      <c r="Q115" s="47">
        <v>0</v>
      </c>
      <c r="R115" s="54">
        <v>0</v>
      </c>
      <c r="S115" s="47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1</v>
      </c>
      <c r="Y115" s="47">
        <v>1</v>
      </c>
      <c r="Z115" s="47">
        <v>0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1</v>
      </c>
      <c r="AG115" s="47">
        <v>0</v>
      </c>
      <c r="AH115" s="47">
        <v>1</v>
      </c>
      <c r="AI115" s="47">
        <v>0</v>
      </c>
      <c r="AJ115" s="47">
        <v>0</v>
      </c>
      <c r="AK115" s="47">
        <v>0</v>
      </c>
      <c r="AL115" s="47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41">
        <f t="shared" si="10"/>
        <v>27.787290344948985</v>
      </c>
      <c r="BH115" s="41">
        <f t="shared" si="11"/>
        <v>187.50334684931769</v>
      </c>
      <c r="BI115" s="42">
        <f t="shared" si="12"/>
        <v>-1.9092179607934416</v>
      </c>
      <c r="BJ115" s="42">
        <f t="shared" si="13"/>
        <v>-0.72215595438284452</v>
      </c>
      <c r="BK115" s="42">
        <f t="shared" si="14"/>
        <v>0.74804000699260065</v>
      </c>
      <c r="BL115" s="42">
        <f t="shared" si="15"/>
        <v>-1.5868964163869099</v>
      </c>
      <c r="BM115" s="42">
        <f t="shared" si="16"/>
        <v>34.131035836130899</v>
      </c>
      <c r="BN115" s="39" t="str">
        <f t="shared" si="17"/>
        <v>NC</v>
      </c>
    </row>
    <row r="116" spans="1:66" s="37" customFormat="1" x14ac:dyDescent="0.45">
      <c r="A116" s="38">
        <v>115</v>
      </c>
      <c r="B116" s="35" t="s">
        <v>519</v>
      </c>
      <c r="C116" s="39">
        <f t="shared" si="9"/>
        <v>15</v>
      </c>
      <c r="D116" s="47">
        <v>1</v>
      </c>
      <c r="E116" s="47">
        <v>1</v>
      </c>
      <c r="F116" s="47">
        <v>0</v>
      </c>
      <c r="G116" s="47">
        <v>1</v>
      </c>
      <c r="H116" s="47">
        <v>1</v>
      </c>
      <c r="I116" s="47">
        <v>1</v>
      </c>
      <c r="J116" s="47">
        <v>0</v>
      </c>
      <c r="K116" s="47">
        <v>0</v>
      </c>
      <c r="L116" s="47">
        <v>1</v>
      </c>
      <c r="M116" s="47">
        <v>1</v>
      </c>
      <c r="N116" s="47">
        <v>0</v>
      </c>
      <c r="O116" s="47">
        <v>0</v>
      </c>
      <c r="P116" s="47">
        <v>1</v>
      </c>
      <c r="Q116" s="47">
        <v>1</v>
      </c>
      <c r="R116" s="54">
        <v>0</v>
      </c>
      <c r="S116" s="47">
        <v>1</v>
      </c>
      <c r="T116" s="47">
        <v>0</v>
      </c>
      <c r="U116" s="47">
        <v>0</v>
      </c>
      <c r="V116" s="47">
        <v>0</v>
      </c>
      <c r="W116" s="47">
        <v>0</v>
      </c>
      <c r="X116" s="47">
        <v>1</v>
      </c>
      <c r="Y116" s="47">
        <v>1</v>
      </c>
      <c r="Z116" s="47">
        <v>0</v>
      </c>
      <c r="AA116" s="47">
        <v>0</v>
      </c>
      <c r="AB116" s="47">
        <v>0</v>
      </c>
      <c r="AC116" s="47">
        <v>1</v>
      </c>
      <c r="AD116" s="47">
        <v>0</v>
      </c>
      <c r="AE116" s="47">
        <v>0</v>
      </c>
      <c r="AF116" s="47">
        <v>0</v>
      </c>
      <c r="AG116" s="47">
        <v>0</v>
      </c>
      <c r="AH116" s="47">
        <v>0</v>
      </c>
      <c r="AI116" s="47">
        <v>0</v>
      </c>
      <c r="AJ116" s="47">
        <v>0</v>
      </c>
      <c r="AK116" s="47">
        <v>1</v>
      </c>
      <c r="AL116" s="47">
        <v>0</v>
      </c>
      <c r="AM116" s="47">
        <v>0</v>
      </c>
      <c r="AN116" s="47">
        <v>0</v>
      </c>
      <c r="AO116" s="47">
        <v>1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0</v>
      </c>
      <c r="AW116" s="47">
        <v>0</v>
      </c>
      <c r="AX116" s="47">
        <v>0</v>
      </c>
      <c r="AY116" s="47">
        <v>0</v>
      </c>
      <c r="AZ116" s="47">
        <v>0</v>
      </c>
      <c r="BA116" s="47">
        <v>0</v>
      </c>
      <c r="BB116" s="47">
        <v>0</v>
      </c>
      <c r="BC116" s="47">
        <v>0</v>
      </c>
      <c r="BD116" s="47">
        <v>0</v>
      </c>
      <c r="BE116" s="47">
        <v>0</v>
      </c>
      <c r="BF116" s="47">
        <v>0</v>
      </c>
      <c r="BG116" s="41">
        <f t="shared" si="10"/>
        <v>43.350398754858652</v>
      </c>
      <c r="BH116" s="41">
        <f t="shared" si="11"/>
        <v>171.94023843940803</v>
      </c>
      <c r="BI116" s="42">
        <f t="shared" si="12"/>
        <v>-1.3778310638231568</v>
      </c>
      <c r="BJ116" s="42">
        <f t="shared" si="13"/>
        <v>-0.72215595438284452</v>
      </c>
      <c r="BK116" s="42">
        <f t="shared" si="14"/>
        <v>0.74804000699260065</v>
      </c>
      <c r="BL116" s="42">
        <f t="shared" si="15"/>
        <v>-0.87652412078382058</v>
      </c>
      <c r="BM116" s="42">
        <f t="shared" si="16"/>
        <v>41.234758792161799</v>
      </c>
      <c r="BN116" s="39" t="str">
        <f t="shared" si="17"/>
        <v>NC</v>
      </c>
    </row>
    <row r="117" spans="1:66" x14ac:dyDescent="0.45">
      <c r="A117" s="38">
        <v>116</v>
      </c>
      <c r="B117" s="36" t="s">
        <v>38</v>
      </c>
      <c r="C117" s="39">
        <f t="shared" si="9"/>
        <v>20</v>
      </c>
      <c r="D117" s="47">
        <v>1</v>
      </c>
      <c r="E117" s="47">
        <v>1</v>
      </c>
      <c r="F117" s="47">
        <v>0</v>
      </c>
      <c r="G117" s="47">
        <v>0</v>
      </c>
      <c r="H117" s="47">
        <v>1</v>
      </c>
      <c r="I117" s="47">
        <v>1</v>
      </c>
      <c r="J117" s="47">
        <v>1</v>
      </c>
      <c r="K117" s="47">
        <v>0</v>
      </c>
      <c r="L117" s="47">
        <v>1</v>
      </c>
      <c r="M117" s="47">
        <v>1</v>
      </c>
      <c r="N117" s="47">
        <v>0</v>
      </c>
      <c r="O117" s="47">
        <v>1</v>
      </c>
      <c r="P117" s="47">
        <v>1</v>
      </c>
      <c r="Q117" s="47">
        <v>0</v>
      </c>
      <c r="R117" s="54">
        <v>1</v>
      </c>
      <c r="S117" s="47">
        <v>1</v>
      </c>
      <c r="T117" s="47">
        <v>1</v>
      </c>
      <c r="U117" s="47">
        <v>1</v>
      </c>
      <c r="V117" s="47">
        <v>1</v>
      </c>
      <c r="W117" s="47">
        <v>0</v>
      </c>
      <c r="X117" s="47">
        <v>0</v>
      </c>
      <c r="Y117" s="47">
        <v>1</v>
      </c>
      <c r="Z117" s="47">
        <v>0</v>
      </c>
      <c r="AA117" s="47">
        <v>0</v>
      </c>
      <c r="AB117" s="47">
        <v>0</v>
      </c>
      <c r="AC117" s="47">
        <v>1</v>
      </c>
      <c r="AD117" s="47">
        <v>0</v>
      </c>
      <c r="AE117" s="47">
        <v>1</v>
      </c>
      <c r="AF117" s="47">
        <v>0</v>
      </c>
      <c r="AG117" s="47">
        <v>0</v>
      </c>
      <c r="AH117" s="47">
        <v>1</v>
      </c>
      <c r="AI117" s="47">
        <v>0</v>
      </c>
      <c r="AJ117" s="47">
        <v>1</v>
      </c>
      <c r="AK117" s="47">
        <v>1</v>
      </c>
      <c r="AL117" s="47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0</v>
      </c>
      <c r="AW117" s="50">
        <v>0</v>
      </c>
      <c r="AX117" s="50">
        <v>0</v>
      </c>
      <c r="AY117" s="50">
        <v>0</v>
      </c>
      <c r="AZ117" s="50">
        <v>0</v>
      </c>
      <c r="BA117" s="50">
        <v>0</v>
      </c>
      <c r="BB117" s="50">
        <v>0</v>
      </c>
      <c r="BC117" s="50">
        <v>0</v>
      </c>
      <c r="BD117" s="50">
        <v>0</v>
      </c>
      <c r="BE117" s="50">
        <v>0</v>
      </c>
      <c r="BF117" s="50">
        <v>0</v>
      </c>
      <c r="BG117" s="41">
        <f t="shared" si="10"/>
        <v>55.497515263520917</v>
      </c>
      <c r="BH117" s="41">
        <f t="shared" si="11"/>
        <v>159.79312193074577</v>
      </c>
      <c r="BI117" s="42">
        <f t="shared" si="12"/>
        <v>-1.0575417409473136</v>
      </c>
      <c r="BJ117" s="42">
        <f t="shared" si="13"/>
        <v>-0.72215595438284452</v>
      </c>
      <c r="BK117" s="42">
        <f t="shared" si="14"/>
        <v>0.74804000699260065</v>
      </c>
      <c r="BL117" s="42">
        <f t="shared" si="15"/>
        <v>-0.44835273973225681</v>
      </c>
      <c r="BM117" s="42">
        <f t="shared" si="16"/>
        <v>45.516472602677432</v>
      </c>
      <c r="BN117" s="39" t="str">
        <f t="shared" si="17"/>
        <v>C</v>
      </c>
    </row>
    <row r="118" spans="1:66" s="37" customFormat="1" x14ac:dyDescent="0.45">
      <c r="A118" s="38">
        <v>117</v>
      </c>
      <c r="B118" s="36" t="s">
        <v>480</v>
      </c>
      <c r="C118" s="39">
        <f t="shared" si="9"/>
        <v>27</v>
      </c>
      <c r="D118" s="47">
        <v>0</v>
      </c>
      <c r="E118" s="47">
        <v>1</v>
      </c>
      <c r="F118" s="47">
        <v>1</v>
      </c>
      <c r="G118" s="47">
        <v>1</v>
      </c>
      <c r="H118" s="47">
        <v>1</v>
      </c>
      <c r="I118" s="47">
        <v>1</v>
      </c>
      <c r="J118" s="47">
        <v>1</v>
      </c>
      <c r="K118" s="47">
        <v>0</v>
      </c>
      <c r="L118" s="47">
        <v>1</v>
      </c>
      <c r="M118" s="47">
        <v>1</v>
      </c>
      <c r="N118" s="47">
        <v>0</v>
      </c>
      <c r="O118" s="47">
        <v>1</v>
      </c>
      <c r="P118" s="47">
        <v>1</v>
      </c>
      <c r="Q118" s="47">
        <v>1</v>
      </c>
      <c r="R118" s="54">
        <v>0</v>
      </c>
      <c r="S118" s="47">
        <v>0</v>
      </c>
      <c r="T118" s="47">
        <v>1</v>
      </c>
      <c r="U118" s="47">
        <v>1</v>
      </c>
      <c r="V118" s="47">
        <v>1</v>
      </c>
      <c r="W118" s="47">
        <v>1</v>
      </c>
      <c r="X118" s="47">
        <v>0</v>
      </c>
      <c r="Y118" s="47">
        <v>1</v>
      </c>
      <c r="Z118" s="47">
        <v>1</v>
      </c>
      <c r="AA118" s="47">
        <v>1</v>
      </c>
      <c r="AB118" s="47">
        <v>1</v>
      </c>
      <c r="AC118" s="47">
        <v>1</v>
      </c>
      <c r="AD118" s="47">
        <v>0</v>
      </c>
      <c r="AE118" s="47">
        <v>1</v>
      </c>
      <c r="AF118" s="47">
        <v>1</v>
      </c>
      <c r="AG118" s="47">
        <v>0</v>
      </c>
      <c r="AH118" s="47">
        <v>1</v>
      </c>
      <c r="AI118" s="47">
        <v>1</v>
      </c>
      <c r="AJ118" s="47">
        <v>0</v>
      </c>
      <c r="AK118" s="47">
        <v>1</v>
      </c>
      <c r="AL118" s="47">
        <v>0</v>
      </c>
      <c r="AM118" s="50">
        <v>1</v>
      </c>
      <c r="AN118" s="50">
        <v>0</v>
      </c>
      <c r="AO118" s="50">
        <v>0</v>
      </c>
      <c r="AP118" s="50">
        <v>0</v>
      </c>
      <c r="AQ118" s="50">
        <v>0</v>
      </c>
      <c r="AR118" s="50">
        <v>1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41">
        <f t="shared" si="10"/>
        <v>80.807503255537668</v>
      </c>
      <c r="BH118" s="41">
        <f t="shared" si="11"/>
        <v>134.483133938729</v>
      </c>
      <c r="BI118" s="42">
        <f t="shared" si="12"/>
        <v>-0.50936896966469569</v>
      </c>
      <c r="BJ118" s="42">
        <f t="shared" si="13"/>
        <v>-0.72215595438284452</v>
      </c>
      <c r="BK118" s="42">
        <f t="shared" si="14"/>
        <v>0.74804000699260065</v>
      </c>
      <c r="BL118" s="42">
        <f t="shared" si="15"/>
        <v>0.28445936411025896</v>
      </c>
      <c r="BM118" s="42">
        <f t="shared" si="16"/>
        <v>52.844593641102591</v>
      </c>
      <c r="BN118" s="39" t="str">
        <f t="shared" si="17"/>
        <v>C+</v>
      </c>
    </row>
    <row r="119" spans="1:66" s="37" customFormat="1" x14ac:dyDescent="0.45">
      <c r="A119" s="38">
        <v>118</v>
      </c>
      <c r="B119" s="36" t="s">
        <v>522</v>
      </c>
      <c r="C119" s="39">
        <f t="shared" si="9"/>
        <v>10</v>
      </c>
      <c r="D119" s="47">
        <v>1</v>
      </c>
      <c r="E119" s="47">
        <v>1</v>
      </c>
      <c r="F119" s="47">
        <v>1</v>
      </c>
      <c r="G119" s="47">
        <v>0</v>
      </c>
      <c r="H119" s="47">
        <v>1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1</v>
      </c>
      <c r="P119" s="47">
        <v>1</v>
      </c>
      <c r="Q119" s="47">
        <v>0</v>
      </c>
      <c r="R119" s="54">
        <v>0</v>
      </c>
      <c r="S119" s="47">
        <v>1</v>
      </c>
      <c r="T119" s="47">
        <v>0</v>
      </c>
      <c r="U119" s="47">
        <v>0</v>
      </c>
      <c r="V119" s="47">
        <v>0</v>
      </c>
      <c r="W119" s="47">
        <v>1</v>
      </c>
      <c r="X119" s="47">
        <v>0</v>
      </c>
      <c r="Y119" s="47">
        <v>0</v>
      </c>
      <c r="Z119" s="47">
        <v>1</v>
      </c>
      <c r="AA119" s="47">
        <v>0</v>
      </c>
      <c r="AB119" s="47">
        <v>0</v>
      </c>
      <c r="AC119" s="47">
        <v>1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1">
        <f t="shared" si="10"/>
        <v>25.978177509876915</v>
      </c>
      <c r="BH119" s="41">
        <f t="shared" si="11"/>
        <v>189.31245968438975</v>
      </c>
      <c r="BI119" s="42">
        <f t="shared" si="12"/>
        <v>-1.9861420167828931</v>
      </c>
      <c r="BJ119" s="42">
        <f t="shared" si="13"/>
        <v>-0.72215595438284452</v>
      </c>
      <c r="BK119" s="42">
        <f t="shared" si="14"/>
        <v>0.74804000699260065</v>
      </c>
      <c r="BL119" s="42">
        <f t="shared" si="15"/>
        <v>-1.6897305633180548</v>
      </c>
      <c r="BM119" s="42">
        <f t="shared" si="16"/>
        <v>33.102694366819449</v>
      </c>
      <c r="BN119" s="39" t="str">
        <f t="shared" si="17"/>
        <v>NC</v>
      </c>
    </row>
    <row r="120" spans="1:66" s="37" customFormat="1" x14ac:dyDescent="0.45">
      <c r="A120" s="38">
        <v>119</v>
      </c>
      <c r="B120" s="36" t="s">
        <v>45</v>
      </c>
      <c r="C120" s="39">
        <f t="shared" si="9"/>
        <v>30</v>
      </c>
      <c r="D120" s="47">
        <v>0</v>
      </c>
      <c r="E120" s="47">
        <v>1</v>
      </c>
      <c r="F120" s="47">
        <v>1</v>
      </c>
      <c r="G120" s="47">
        <v>0</v>
      </c>
      <c r="H120" s="47">
        <v>0</v>
      </c>
      <c r="I120" s="47">
        <v>1</v>
      </c>
      <c r="J120" s="47">
        <v>1</v>
      </c>
      <c r="K120" s="47">
        <v>1</v>
      </c>
      <c r="L120" s="47">
        <v>1</v>
      </c>
      <c r="M120" s="47">
        <v>1</v>
      </c>
      <c r="N120" s="47">
        <v>0</v>
      </c>
      <c r="O120" s="47">
        <v>0</v>
      </c>
      <c r="P120" s="47">
        <v>1</v>
      </c>
      <c r="Q120" s="47">
        <v>0</v>
      </c>
      <c r="R120" s="54">
        <v>1</v>
      </c>
      <c r="S120" s="47">
        <v>1</v>
      </c>
      <c r="T120" s="47">
        <v>1</v>
      </c>
      <c r="U120" s="47">
        <v>1</v>
      </c>
      <c r="V120" s="47">
        <v>1</v>
      </c>
      <c r="W120" s="47">
        <v>1</v>
      </c>
      <c r="X120" s="47">
        <v>0</v>
      </c>
      <c r="Y120" s="47">
        <v>1</v>
      </c>
      <c r="Z120" s="47">
        <v>1</v>
      </c>
      <c r="AA120" s="47">
        <v>1</v>
      </c>
      <c r="AB120" s="47">
        <v>0</v>
      </c>
      <c r="AC120" s="47">
        <v>1</v>
      </c>
      <c r="AD120" s="47">
        <v>1</v>
      </c>
      <c r="AE120" s="47">
        <v>1</v>
      </c>
      <c r="AF120" s="47">
        <v>0</v>
      </c>
      <c r="AG120" s="47">
        <v>1</v>
      </c>
      <c r="AH120" s="47">
        <v>1</v>
      </c>
      <c r="AI120" s="47">
        <v>0</v>
      </c>
      <c r="AJ120" s="47">
        <v>0</v>
      </c>
      <c r="AK120" s="47">
        <v>0</v>
      </c>
      <c r="AL120" s="47">
        <v>1</v>
      </c>
      <c r="AM120" s="50">
        <v>1</v>
      </c>
      <c r="AN120" s="50">
        <v>0</v>
      </c>
      <c r="AO120" s="50">
        <v>0</v>
      </c>
      <c r="AP120" s="50">
        <v>0</v>
      </c>
      <c r="AQ120" s="50">
        <v>1</v>
      </c>
      <c r="AR120" s="50">
        <v>1</v>
      </c>
      <c r="AS120" s="50">
        <v>0</v>
      </c>
      <c r="AT120" s="50">
        <v>1</v>
      </c>
      <c r="AU120" s="50">
        <v>1</v>
      </c>
      <c r="AV120" s="50">
        <v>1</v>
      </c>
      <c r="AW120" s="50">
        <v>0</v>
      </c>
      <c r="AX120" s="50">
        <v>0</v>
      </c>
      <c r="AY120" s="50">
        <v>0</v>
      </c>
      <c r="AZ120" s="50">
        <v>0</v>
      </c>
      <c r="BA120" s="50">
        <v>0</v>
      </c>
      <c r="BB120" s="50">
        <v>0</v>
      </c>
      <c r="BC120" s="50">
        <v>0</v>
      </c>
      <c r="BD120" s="50">
        <v>1</v>
      </c>
      <c r="BE120" s="50">
        <v>0</v>
      </c>
      <c r="BF120" s="50">
        <v>0</v>
      </c>
      <c r="BG120" s="41">
        <f t="shared" si="10"/>
        <v>98.75130059507039</v>
      </c>
      <c r="BH120" s="41">
        <f t="shared" si="11"/>
        <v>116.53933659919629</v>
      </c>
      <c r="BI120" s="42">
        <f t="shared" si="12"/>
        <v>-0.16562429494823228</v>
      </c>
      <c r="BJ120" s="42">
        <f t="shared" si="13"/>
        <v>-0.72215595438284452</v>
      </c>
      <c r="BK120" s="42">
        <f t="shared" si="14"/>
        <v>0.74804000699260065</v>
      </c>
      <c r="BL120" s="42">
        <f t="shared" si="15"/>
        <v>0.74398649033769826</v>
      </c>
      <c r="BM120" s="42">
        <f t="shared" si="16"/>
        <v>57.439864903376986</v>
      </c>
      <c r="BN120" s="39" t="str">
        <f t="shared" si="17"/>
        <v>B</v>
      </c>
    </row>
    <row r="121" spans="1:66" s="37" customFormat="1" x14ac:dyDescent="0.45">
      <c r="A121" s="38">
        <v>120</v>
      </c>
      <c r="B121" s="36" t="s">
        <v>459</v>
      </c>
      <c r="C121" s="39">
        <f t="shared" si="9"/>
        <v>15</v>
      </c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1</v>
      </c>
      <c r="J121" s="47">
        <v>0</v>
      </c>
      <c r="K121" s="47">
        <v>1</v>
      </c>
      <c r="L121" s="47">
        <v>0</v>
      </c>
      <c r="M121" s="47">
        <v>0</v>
      </c>
      <c r="N121" s="47">
        <v>1</v>
      </c>
      <c r="O121" s="47">
        <v>0</v>
      </c>
      <c r="P121" s="47">
        <v>1</v>
      </c>
      <c r="Q121" s="47">
        <v>1</v>
      </c>
      <c r="R121" s="54">
        <v>0</v>
      </c>
      <c r="S121" s="47">
        <v>0</v>
      </c>
      <c r="T121" s="47">
        <v>1</v>
      </c>
      <c r="U121" s="47">
        <v>0</v>
      </c>
      <c r="V121" s="47">
        <v>0</v>
      </c>
      <c r="W121" s="47">
        <v>0</v>
      </c>
      <c r="X121" s="47">
        <v>1</v>
      </c>
      <c r="Y121" s="47">
        <v>0</v>
      </c>
      <c r="Z121" s="47">
        <v>1</v>
      </c>
      <c r="AA121" s="47">
        <v>0</v>
      </c>
      <c r="AB121" s="47">
        <v>0</v>
      </c>
      <c r="AC121" s="47">
        <v>1</v>
      </c>
      <c r="AD121" s="47">
        <v>0</v>
      </c>
      <c r="AE121" s="47">
        <v>1</v>
      </c>
      <c r="AF121" s="47">
        <v>0</v>
      </c>
      <c r="AG121" s="47">
        <v>0</v>
      </c>
      <c r="AH121" s="47">
        <v>0</v>
      </c>
      <c r="AI121" s="47">
        <v>0</v>
      </c>
      <c r="AJ121" s="47">
        <v>1</v>
      </c>
      <c r="AK121" s="47">
        <v>1</v>
      </c>
      <c r="AL121" s="47">
        <v>0</v>
      </c>
      <c r="AM121" s="47">
        <v>1</v>
      </c>
      <c r="AN121" s="47">
        <v>0</v>
      </c>
      <c r="AO121" s="47">
        <v>1</v>
      </c>
      <c r="AP121" s="47">
        <v>0</v>
      </c>
      <c r="AQ121" s="47">
        <v>1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1">
        <f t="shared" si="10"/>
        <v>48.15960483357663</v>
      </c>
      <c r="BH121" s="41">
        <f t="shared" si="11"/>
        <v>167.13103236069006</v>
      </c>
      <c r="BI121" s="42">
        <f t="shared" si="12"/>
        <v>-1.2442575339898339</v>
      </c>
      <c r="BJ121" s="42">
        <f t="shared" si="13"/>
        <v>-0.72215595438284452</v>
      </c>
      <c r="BK121" s="42">
        <f t="shared" si="14"/>
        <v>0.74804000699260065</v>
      </c>
      <c r="BL121" s="42">
        <f t="shared" si="15"/>
        <v>-0.69795943362178192</v>
      </c>
      <c r="BM121" s="42">
        <f t="shared" si="16"/>
        <v>43.020405663782178</v>
      </c>
      <c r="BN121" s="39" t="str">
        <f t="shared" si="17"/>
        <v>NC</v>
      </c>
    </row>
    <row r="122" spans="1:66" x14ac:dyDescent="0.45">
      <c r="A122" s="38">
        <v>121</v>
      </c>
      <c r="B122" s="35" t="s">
        <v>485</v>
      </c>
      <c r="C122" s="39">
        <f t="shared" si="9"/>
        <v>15</v>
      </c>
      <c r="D122" s="47">
        <v>1</v>
      </c>
      <c r="E122" s="47">
        <v>1</v>
      </c>
      <c r="F122" s="47">
        <v>0</v>
      </c>
      <c r="G122" s="47">
        <v>0</v>
      </c>
      <c r="H122" s="47">
        <v>0</v>
      </c>
      <c r="I122" s="47">
        <v>1</v>
      </c>
      <c r="J122" s="47">
        <v>0</v>
      </c>
      <c r="K122" s="47">
        <v>1</v>
      </c>
      <c r="L122" s="47">
        <v>0</v>
      </c>
      <c r="M122" s="47">
        <v>1</v>
      </c>
      <c r="N122" s="47">
        <v>1</v>
      </c>
      <c r="O122" s="47">
        <v>1</v>
      </c>
      <c r="P122" s="47">
        <v>0</v>
      </c>
      <c r="Q122" s="47">
        <v>0</v>
      </c>
      <c r="R122" s="54">
        <v>0</v>
      </c>
      <c r="S122" s="47">
        <v>1</v>
      </c>
      <c r="T122" s="47">
        <v>1</v>
      </c>
      <c r="U122" s="47">
        <v>1</v>
      </c>
      <c r="V122" s="47">
        <v>0</v>
      </c>
      <c r="W122" s="47">
        <v>0</v>
      </c>
      <c r="X122" s="47">
        <v>1</v>
      </c>
      <c r="Y122" s="47">
        <v>1</v>
      </c>
      <c r="Z122" s="47">
        <v>0</v>
      </c>
      <c r="AA122" s="47">
        <v>0</v>
      </c>
      <c r="AB122" s="47">
        <v>0</v>
      </c>
      <c r="AC122" s="47">
        <v>1</v>
      </c>
      <c r="AD122" s="47">
        <v>0</v>
      </c>
      <c r="AE122" s="47">
        <v>0</v>
      </c>
      <c r="AF122" s="47">
        <v>1</v>
      </c>
      <c r="AG122" s="47">
        <v>0</v>
      </c>
      <c r="AH122" s="47">
        <v>0</v>
      </c>
      <c r="AI122" s="47">
        <v>0</v>
      </c>
      <c r="AJ122" s="47">
        <v>0</v>
      </c>
      <c r="AK122" s="47">
        <v>0</v>
      </c>
      <c r="AL122" s="47">
        <v>0</v>
      </c>
      <c r="AM122" s="50">
        <v>1</v>
      </c>
      <c r="AN122" s="50">
        <v>0</v>
      </c>
      <c r="AO122" s="50">
        <v>0</v>
      </c>
      <c r="AP122" s="50">
        <v>0</v>
      </c>
      <c r="AQ122" s="50">
        <v>0</v>
      </c>
      <c r="AR122" s="50">
        <v>0</v>
      </c>
      <c r="AS122" s="50">
        <v>0</v>
      </c>
      <c r="AT122" s="50">
        <v>0</v>
      </c>
      <c r="AU122" s="50">
        <v>0</v>
      </c>
      <c r="AV122" s="50">
        <v>0</v>
      </c>
      <c r="AW122" s="50">
        <v>0</v>
      </c>
      <c r="AX122" s="50">
        <v>0</v>
      </c>
      <c r="AY122" s="50">
        <v>0</v>
      </c>
      <c r="AZ122" s="50">
        <v>0</v>
      </c>
      <c r="BA122" s="50">
        <v>0</v>
      </c>
      <c r="BB122" s="50">
        <v>0</v>
      </c>
      <c r="BC122" s="50">
        <v>0</v>
      </c>
      <c r="BD122" s="50">
        <v>0</v>
      </c>
      <c r="BE122" s="50">
        <v>0</v>
      </c>
      <c r="BF122" s="50">
        <v>0</v>
      </c>
      <c r="BG122" s="41">
        <f t="shared" si="10"/>
        <v>43.496117454599236</v>
      </c>
      <c r="BH122" s="41">
        <f t="shared" si="11"/>
        <v>171.79451973966744</v>
      </c>
      <c r="BI122" s="42">
        <f t="shared" si="12"/>
        <v>-1.373627429776737</v>
      </c>
      <c r="BJ122" s="42">
        <f t="shared" si="13"/>
        <v>-0.72215595438284452</v>
      </c>
      <c r="BK122" s="42">
        <f t="shared" si="14"/>
        <v>0.74804000699260065</v>
      </c>
      <c r="BL122" s="42">
        <f t="shared" si="15"/>
        <v>-0.87090458973317542</v>
      </c>
      <c r="BM122" s="42">
        <f t="shared" si="16"/>
        <v>41.290954102668245</v>
      </c>
      <c r="BN122" s="39" t="str">
        <f t="shared" si="17"/>
        <v>NC</v>
      </c>
    </row>
    <row r="123" spans="1:66" s="37" customFormat="1" hidden="1" x14ac:dyDescent="0.45">
      <c r="A123" s="38"/>
      <c r="B123" s="43"/>
      <c r="C123" s="39" t="s">
        <v>6</v>
      </c>
      <c r="D123" s="47">
        <f>SUM(D2:D122)</f>
        <v>91</v>
      </c>
      <c r="E123" s="47">
        <f t="shared" ref="E123:BF123" si="18">SUM(E2:E122)</f>
        <v>111</v>
      </c>
      <c r="F123" s="47">
        <f t="shared" si="18"/>
        <v>75</v>
      </c>
      <c r="G123" s="47">
        <f t="shared" si="18"/>
        <v>47</v>
      </c>
      <c r="H123" s="47">
        <f t="shared" si="18"/>
        <v>77</v>
      </c>
      <c r="I123" s="47">
        <f t="shared" si="18"/>
        <v>82</v>
      </c>
      <c r="J123" s="47">
        <f t="shared" si="18"/>
        <v>90</v>
      </c>
      <c r="K123" s="47">
        <f t="shared" si="18"/>
        <v>65</v>
      </c>
      <c r="L123" s="47">
        <f t="shared" si="18"/>
        <v>70</v>
      </c>
      <c r="M123" s="47">
        <f t="shared" si="18"/>
        <v>89</v>
      </c>
      <c r="N123" s="47">
        <f t="shared" si="18"/>
        <v>33</v>
      </c>
      <c r="O123" s="47">
        <f t="shared" si="18"/>
        <v>62</v>
      </c>
      <c r="P123" s="47">
        <f t="shared" si="18"/>
        <v>97</v>
      </c>
      <c r="Q123" s="47">
        <f t="shared" si="18"/>
        <v>59</v>
      </c>
      <c r="R123" s="54">
        <f t="shared" si="18"/>
        <v>24</v>
      </c>
      <c r="S123" s="47">
        <f t="shared" si="18"/>
        <v>66</v>
      </c>
      <c r="T123" s="47">
        <f t="shared" si="18"/>
        <v>94</v>
      </c>
      <c r="U123" s="47">
        <f t="shared" si="18"/>
        <v>71</v>
      </c>
      <c r="V123" s="47">
        <f t="shared" si="18"/>
        <v>79</v>
      </c>
      <c r="W123" s="47">
        <f t="shared" si="18"/>
        <v>76</v>
      </c>
      <c r="X123" s="47">
        <f t="shared" si="18"/>
        <v>51</v>
      </c>
      <c r="Y123" s="47">
        <f t="shared" si="18"/>
        <v>85</v>
      </c>
      <c r="Z123" s="47">
        <f t="shared" si="18"/>
        <v>71</v>
      </c>
      <c r="AA123" s="47">
        <f t="shared" si="18"/>
        <v>58</v>
      </c>
      <c r="AB123" s="47">
        <f t="shared" si="18"/>
        <v>66</v>
      </c>
      <c r="AC123" s="47">
        <f t="shared" si="18"/>
        <v>89</v>
      </c>
      <c r="AD123" s="47">
        <f t="shared" si="18"/>
        <v>30</v>
      </c>
      <c r="AE123" s="47">
        <f t="shared" si="18"/>
        <v>69</v>
      </c>
      <c r="AF123" s="47">
        <f t="shared" si="18"/>
        <v>47</v>
      </c>
      <c r="AG123" s="47">
        <f t="shared" si="18"/>
        <v>44</v>
      </c>
      <c r="AH123" s="47">
        <f t="shared" si="18"/>
        <v>59</v>
      </c>
      <c r="AI123" s="47">
        <f t="shared" si="18"/>
        <v>34</v>
      </c>
      <c r="AJ123" s="47">
        <f t="shared" si="18"/>
        <v>75</v>
      </c>
      <c r="AK123" s="47">
        <f t="shared" si="18"/>
        <v>71</v>
      </c>
      <c r="AL123" s="47">
        <f t="shared" si="18"/>
        <v>55</v>
      </c>
      <c r="AM123" s="50">
        <f t="shared" si="18"/>
        <v>67</v>
      </c>
      <c r="AN123" s="50">
        <f t="shared" si="18"/>
        <v>18</v>
      </c>
      <c r="AO123" s="50">
        <f t="shared" si="18"/>
        <v>24</v>
      </c>
      <c r="AP123" s="50">
        <f t="shared" si="18"/>
        <v>29</v>
      </c>
      <c r="AQ123" s="50">
        <f t="shared" si="18"/>
        <v>44</v>
      </c>
      <c r="AR123" s="50">
        <f t="shared" si="18"/>
        <v>36</v>
      </c>
      <c r="AS123" s="50">
        <f t="shared" si="18"/>
        <v>11</v>
      </c>
      <c r="AT123" s="50">
        <f t="shared" si="18"/>
        <v>27</v>
      </c>
      <c r="AU123" s="50">
        <f t="shared" si="18"/>
        <v>30</v>
      </c>
      <c r="AV123" s="50">
        <f t="shared" si="18"/>
        <v>27</v>
      </c>
      <c r="AW123" s="50">
        <f t="shared" si="18"/>
        <v>14</v>
      </c>
      <c r="AX123" s="50">
        <f t="shared" si="18"/>
        <v>12</v>
      </c>
      <c r="AY123" s="50">
        <f t="shared" si="18"/>
        <v>9</v>
      </c>
      <c r="AZ123" s="50">
        <f t="shared" si="18"/>
        <v>14</v>
      </c>
      <c r="BA123" s="50">
        <f t="shared" si="18"/>
        <v>30</v>
      </c>
      <c r="BB123" s="50">
        <f t="shared" si="18"/>
        <v>23</v>
      </c>
      <c r="BC123" s="50">
        <f t="shared" si="18"/>
        <v>2</v>
      </c>
      <c r="BD123" s="50">
        <f t="shared" si="18"/>
        <v>24</v>
      </c>
      <c r="BE123" s="50">
        <f t="shared" si="18"/>
        <v>2</v>
      </c>
      <c r="BF123" s="50">
        <f t="shared" si="18"/>
        <v>1</v>
      </c>
      <c r="BG123" s="44"/>
      <c r="BH123" s="45"/>
      <c r="BI123" s="44"/>
      <c r="BJ123" s="44"/>
      <c r="BK123" s="44"/>
      <c r="BL123" s="44"/>
      <c r="BM123" s="44"/>
      <c r="BN123" s="44"/>
    </row>
    <row r="124" spans="1:66" s="37" customFormat="1" hidden="1" x14ac:dyDescent="0.45">
      <c r="A124" s="38"/>
      <c r="B124" s="40"/>
      <c r="C124" s="39" t="s">
        <v>7</v>
      </c>
      <c r="D124" s="47">
        <f>$A$122-D123</f>
        <v>30</v>
      </c>
      <c r="E124" s="47">
        <f t="shared" ref="E124:BF124" si="19">$A$122-E123</f>
        <v>10</v>
      </c>
      <c r="F124" s="47">
        <f t="shared" si="19"/>
        <v>46</v>
      </c>
      <c r="G124" s="47">
        <f t="shared" si="19"/>
        <v>74</v>
      </c>
      <c r="H124" s="47">
        <f t="shared" si="19"/>
        <v>44</v>
      </c>
      <c r="I124" s="47">
        <f t="shared" si="19"/>
        <v>39</v>
      </c>
      <c r="J124" s="47">
        <f t="shared" si="19"/>
        <v>31</v>
      </c>
      <c r="K124" s="47">
        <f t="shared" si="19"/>
        <v>56</v>
      </c>
      <c r="L124" s="47">
        <f t="shared" si="19"/>
        <v>51</v>
      </c>
      <c r="M124" s="47">
        <f t="shared" si="19"/>
        <v>32</v>
      </c>
      <c r="N124" s="47">
        <f t="shared" si="19"/>
        <v>88</v>
      </c>
      <c r="O124" s="47">
        <f t="shared" si="19"/>
        <v>59</v>
      </c>
      <c r="P124" s="47">
        <f t="shared" si="19"/>
        <v>24</v>
      </c>
      <c r="Q124" s="47">
        <f t="shared" si="19"/>
        <v>62</v>
      </c>
      <c r="R124" s="54">
        <f t="shared" si="19"/>
        <v>97</v>
      </c>
      <c r="S124" s="47">
        <f t="shared" si="19"/>
        <v>55</v>
      </c>
      <c r="T124" s="47">
        <f t="shared" si="19"/>
        <v>27</v>
      </c>
      <c r="U124" s="47">
        <f t="shared" si="19"/>
        <v>50</v>
      </c>
      <c r="V124" s="47">
        <f t="shared" si="19"/>
        <v>42</v>
      </c>
      <c r="W124" s="47">
        <f t="shared" si="19"/>
        <v>45</v>
      </c>
      <c r="X124" s="47">
        <f t="shared" si="19"/>
        <v>70</v>
      </c>
      <c r="Y124" s="47">
        <f t="shared" si="19"/>
        <v>36</v>
      </c>
      <c r="Z124" s="47">
        <f t="shared" si="19"/>
        <v>50</v>
      </c>
      <c r="AA124" s="47">
        <f t="shared" si="19"/>
        <v>63</v>
      </c>
      <c r="AB124" s="47">
        <f t="shared" si="19"/>
        <v>55</v>
      </c>
      <c r="AC124" s="47">
        <f t="shared" si="19"/>
        <v>32</v>
      </c>
      <c r="AD124" s="47">
        <f t="shared" si="19"/>
        <v>91</v>
      </c>
      <c r="AE124" s="47">
        <f t="shared" si="19"/>
        <v>52</v>
      </c>
      <c r="AF124" s="47">
        <f t="shared" si="19"/>
        <v>74</v>
      </c>
      <c r="AG124" s="47">
        <f t="shared" si="19"/>
        <v>77</v>
      </c>
      <c r="AH124" s="47">
        <f t="shared" si="19"/>
        <v>62</v>
      </c>
      <c r="AI124" s="47">
        <f t="shared" si="19"/>
        <v>87</v>
      </c>
      <c r="AJ124" s="47">
        <f t="shared" si="19"/>
        <v>46</v>
      </c>
      <c r="AK124" s="47">
        <f t="shared" si="19"/>
        <v>50</v>
      </c>
      <c r="AL124" s="47">
        <f t="shared" si="19"/>
        <v>66</v>
      </c>
      <c r="AM124" s="50">
        <f t="shared" si="19"/>
        <v>54</v>
      </c>
      <c r="AN124" s="50">
        <f t="shared" si="19"/>
        <v>103</v>
      </c>
      <c r="AO124" s="50">
        <f t="shared" si="19"/>
        <v>97</v>
      </c>
      <c r="AP124" s="50">
        <f t="shared" si="19"/>
        <v>92</v>
      </c>
      <c r="AQ124" s="50">
        <f t="shared" si="19"/>
        <v>77</v>
      </c>
      <c r="AR124" s="50">
        <f t="shared" si="19"/>
        <v>85</v>
      </c>
      <c r="AS124" s="50">
        <f t="shared" si="19"/>
        <v>110</v>
      </c>
      <c r="AT124" s="50">
        <f t="shared" si="19"/>
        <v>94</v>
      </c>
      <c r="AU124" s="50">
        <f t="shared" si="19"/>
        <v>91</v>
      </c>
      <c r="AV124" s="50">
        <f t="shared" si="19"/>
        <v>94</v>
      </c>
      <c r="AW124" s="50">
        <f t="shared" si="19"/>
        <v>107</v>
      </c>
      <c r="AX124" s="50">
        <f t="shared" si="19"/>
        <v>109</v>
      </c>
      <c r="AY124" s="50">
        <f t="shared" si="19"/>
        <v>112</v>
      </c>
      <c r="AZ124" s="50">
        <f t="shared" si="19"/>
        <v>107</v>
      </c>
      <c r="BA124" s="50">
        <f t="shared" si="19"/>
        <v>91</v>
      </c>
      <c r="BB124" s="50">
        <f t="shared" si="19"/>
        <v>98</v>
      </c>
      <c r="BC124" s="50">
        <f t="shared" si="19"/>
        <v>119</v>
      </c>
      <c r="BD124" s="50">
        <f t="shared" si="19"/>
        <v>97</v>
      </c>
      <c r="BE124" s="50">
        <f t="shared" si="19"/>
        <v>119</v>
      </c>
      <c r="BF124" s="50">
        <f t="shared" si="19"/>
        <v>120</v>
      </c>
      <c r="BG124" s="44"/>
      <c r="BH124" s="45"/>
      <c r="BI124" s="44"/>
      <c r="BJ124" s="44"/>
      <c r="BK124" s="44"/>
      <c r="BL124" s="44"/>
      <c r="BM124" s="44"/>
      <c r="BN124" s="44"/>
    </row>
    <row r="125" spans="1:66" s="37" customFormat="1" hidden="1" x14ac:dyDescent="0.45">
      <c r="A125" s="38"/>
      <c r="B125" s="40"/>
      <c r="C125" s="39" t="s">
        <v>8</v>
      </c>
      <c r="D125" s="47">
        <f>D123/$A$122</f>
        <v>0.75206611570247939</v>
      </c>
      <c r="E125" s="47">
        <f t="shared" ref="E125:BF125" si="20">E123/$A$122</f>
        <v>0.9173553719008265</v>
      </c>
      <c r="F125" s="47">
        <f t="shared" si="20"/>
        <v>0.6198347107438017</v>
      </c>
      <c r="G125" s="47">
        <f t="shared" si="20"/>
        <v>0.38842975206611569</v>
      </c>
      <c r="H125" s="47">
        <f t="shared" si="20"/>
        <v>0.63636363636363635</v>
      </c>
      <c r="I125" s="47">
        <f t="shared" si="20"/>
        <v>0.6776859504132231</v>
      </c>
      <c r="J125" s="47">
        <f t="shared" si="20"/>
        <v>0.74380165289256195</v>
      </c>
      <c r="K125" s="47">
        <f t="shared" si="20"/>
        <v>0.53719008264462809</v>
      </c>
      <c r="L125" s="47">
        <f t="shared" si="20"/>
        <v>0.57851239669421484</v>
      </c>
      <c r="M125" s="47">
        <f t="shared" si="20"/>
        <v>0.73553719008264462</v>
      </c>
      <c r="N125" s="47">
        <f t="shared" si="20"/>
        <v>0.27272727272727271</v>
      </c>
      <c r="O125" s="47">
        <f t="shared" si="20"/>
        <v>0.51239669421487599</v>
      </c>
      <c r="P125" s="47">
        <f t="shared" si="20"/>
        <v>0.80165289256198347</v>
      </c>
      <c r="Q125" s="47">
        <f t="shared" si="20"/>
        <v>0.48760330578512395</v>
      </c>
      <c r="R125" s="54">
        <f t="shared" si="20"/>
        <v>0.19834710743801653</v>
      </c>
      <c r="S125" s="47">
        <f t="shared" si="20"/>
        <v>0.54545454545454541</v>
      </c>
      <c r="T125" s="47">
        <f t="shared" si="20"/>
        <v>0.77685950413223137</v>
      </c>
      <c r="U125" s="47">
        <f t="shared" si="20"/>
        <v>0.58677685950413228</v>
      </c>
      <c r="V125" s="47">
        <f t="shared" si="20"/>
        <v>0.65289256198347112</v>
      </c>
      <c r="W125" s="47">
        <f t="shared" si="20"/>
        <v>0.62809917355371903</v>
      </c>
      <c r="X125" s="47">
        <f t="shared" si="20"/>
        <v>0.42148760330578511</v>
      </c>
      <c r="Y125" s="47">
        <f t="shared" si="20"/>
        <v>0.7024793388429752</v>
      </c>
      <c r="Z125" s="47">
        <f t="shared" si="20"/>
        <v>0.58677685950413228</v>
      </c>
      <c r="AA125" s="47">
        <f t="shared" si="20"/>
        <v>0.47933884297520662</v>
      </c>
      <c r="AB125" s="47">
        <f t="shared" si="20"/>
        <v>0.54545454545454541</v>
      </c>
      <c r="AC125" s="47">
        <f t="shared" si="20"/>
        <v>0.73553719008264462</v>
      </c>
      <c r="AD125" s="47">
        <f t="shared" si="20"/>
        <v>0.24793388429752067</v>
      </c>
      <c r="AE125" s="47">
        <f t="shared" si="20"/>
        <v>0.57024793388429751</v>
      </c>
      <c r="AF125" s="47">
        <f t="shared" si="20"/>
        <v>0.38842975206611569</v>
      </c>
      <c r="AG125" s="47">
        <f t="shared" si="20"/>
        <v>0.36363636363636365</v>
      </c>
      <c r="AH125" s="47">
        <f t="shared" si="20"/>
        <v>0.48760330578512395</v>
      </c>
      <c r="AI125" s="47">
        <f t="shared" si="20"/>
        <v>0.28099173553719009</v>
      </c>
      <c r="AJ125" s="47">
        <f t="shared" si="20"/>
        <v>0.6198347107438017</v>
      </c>
      <c r="AK125" s="47">
        <f t="shared" si="20"/>
        <v>0.58677685950413228</v>
      </c>
      <c r="AL125" s="47">
        <f t="shared" si="20"/>
        <v>0.45454545454545453</v>
      </c>
      <c r="AM125" s="50">
        <f t="shared" si="20"/>
        <v>0.55371900826446285</v>
      </c>
      <c r="AN125" s="50">
        <f t="shared" si="20"/>
        <v>0.1487603305785124</v>
      </c>
      <c r="AO125" s="50">
        <f t="shared" si="20"/>
        <v>0.19834710743801653</v>
      </c>
      <c r="AP125" s="50">
        <f t="shared" si="20"/>
        <v>0.23966942148760331</v>
      </c>
      <c r="AQ125" s="50">
        <f t="shared" si="20"/>
        <v>0.36363636363636365</v>
      </c>
      <c r="AR125" s="50">
        <f t="shared" si="20"/>
        <v>0.2975206611570248</v>
      </c>
      <c r="AS125" s="50">
        <f t="shared" si="20"/>
        <v>9.0909090909090912E-2</v>
      </c>
      <c r="AT125" s="50">
        <f t="shared" si="20"/>
        <v>0.2231404958677686</v>
      </c>
      <c r="AU125" s="50">
        <f t="shared" si="20"/>
        <v>0.24793388429752067</v>
      </c>
      <c r="AV125" s="50">
        <f t="shared" si="20"/>
        <v>0.2231404958677686</v>
      </c>
      <c r="AW125" s="50">
        <f t="shared" si="20"/>
        <v>0.11570247933884298</v>
      </c>
      <c r="AX125" s="50">
        <f t="shared" si="20"/>
        <v>9.9173553719008267E-2</v>
      </c>
      <c r="AY125" s="50">
        <f t="shared" si="20"/>
        <v>7.43801652892562E-2</v>
      </c>
      <c r="AZ125" s="50">
        <f t="shared" si="20"/>
        <v>0.11570247933884298</v>
      </c>
      <c r="BA125" s="50">
        <f t="shared" si="20"/>
        <v>0.24793388429752067</v>
      </c>
      <c r="BB125" s="50">
        <f t="shared" si="20"/>
        <v>0.19008264462809918</v>
      </c>
      <c r="BC125" s="50">
        <f t="shared" si="20"/>
        <v>1.6528925619834711E-2</v>
      </c>
      <c r="BD125" s="50">
        <f t="shared" si="20"/>
        <v>0.19834710743801653</v>
      </c>
      <c r="BE125" s="50">
        <f t="shared" si="20"/>
        <v>1.6528925619834711E-2</v>
      </c>
      <c r="BF125" s="50">
        <f t="shared" si="20"/>
        <v>8.2644628099173556E-3</v>
      </c>
      <c r="BG125" s="44"/>
      <c r="BH125" s="45"/>
      <c r="BI125" s="44"/>
      <c r="BJ125" s="44"/>
      <c r="BK125" s="44"/>
      <c r="BL125" s="44"/>
      <c r="BM125" s="44"/>
      <c r="BN125" s="44"/>
    </row>
    <row r="126" spans="1:66" s="37" customFormat="1" hidden="1" x14ac:dyDescent="0.45">
      <c r="A126" s="38"/>
      <c r="B126" s="40"/>
      <c r="C126" s="39" t="s">
        <v>5</v>
      </c>
      <c r="D126" s="47">
        <f>-LN((D123/$A$122)/(1-(D123/$A$122)))</f>
        <v>-1.109662124854695</v>
      </c>
      <c r="E126" s="47">
        <f t="shared" ref="E126:BF126" si="21">-LN((E123/$A$122)/(1-(E123/$A$122)))</f>
        <v>-2.4069451083182893</v>
      </c>
      <c r="F126" s="47">
        <f t="shared" si="21"/>
        <v>-0.48884671704721566</v>
      </c>
      <c r="G126" s="47">
        <f t="shared" si="21"/>
        <v>0.45391749149411109</v>
      </c>
      <c r="H126" s="47">
        <f t="shared" si="21"/>
        <v>-0.55961578793542266</v>
      </c>
      <c r="I126" s="47">
        <f t="shared" si="21"/>
        <v>-0.74315760113460649</v>
      </c>
      <c r="J126" s="47">
        <f t="shared" si="21"/>
        <v>-1.0658224658451187</v>
      </c>
      <c r="K126" s="47">
        <f t="shared" si="21"/>
        <v>-0.14903557916048776</v>
      </c>
      <c r="L126" s="47">
        <f t="shared" si="21"/>
        <v>-0.31666960932503307</v>
      </c>
      <c r="M126" s="47">
        <f t="shared" si="21"/>
        <v>-1.0229004669324133</v>
      </c>
      <c r="N126" s="47">
        <f t="shared" si="21"/>
        <v>0.98082925301172641</v>
      </c>
      <c r="O126" s="47">
        <f t="shared" si="21"/>
        <v>-4.9596941139371978E-2</v>
      </c>
      <c r="P126" s="47">
        <f t="shared" si="21"/>
        <v>-1.3966571481554373</v>
      </c>
      <c r="Q126" s="47">
        <f t="shared" si="21"/>
        <v>4.959694113937229E-2</v>
      </c>
      <c r="R126" s="54">
        <f t="shared" si="21"/>
        <v>1.3966571481554371</v>
      </c>
      <c r="S126" s="47">
        <f t="shared" si="21"/>
        <v>-0.1823215567939544</v>
      </c>
      <c r="T126" s="47">
        <f t="shared" si="21"/>
        <v>-1.2474579162656747</v>
      </c>
      <c r="U126" s="47">
        <f t="shared" si="21"/>
        <v>-0.3506568716131695</v>
      </c>
      <c r="V126" s="47">
        <f t="shared" si="21"/>
        <v>-0.63177823418365342</v>
      </c>
      <c r="W126" s="47">
        <f t="shared" si="21"/>
        <v>-0.52407085051601143</v>
      </c>
      <c r="X126" s="47">
        <f t="shared" si="21"/>
        <v>0.31666960932503341</v>
      </c>
      <c r="Y126" s="47">
        <f t="shared" si="21"/>
        <v>-0.85913231803420642</v>
      </c>
      <c r="Z126" s="47">
        <f t="shared" si="21"/>
        <v>-0.3506568716131695</v>
      </c>
      <c r="AA126" s="47">
        <f t="shared" si="21"/>
        <v>8.2691715845113409E-2</v>
      </c>
      <c r="AB126" s="47">
        <f t="shared" si="21"/>
        <v>-0.1823215567939544</v>
      </c>
      <c r="AC126" s="47">
        <f t="shared" si="21"/>
        <v>-1.0229004669324133</v>
      </c>
      <c r="AD126" s="47">
        <f t="shared" si="21"/>
        <v>1.1096621248546945</v>
      </c>
      <c r="AE126" s="47">
        <f t="shared" si="21"/>
        <v>-0.28286278601583198</v>
      </c>
      <c r="AF126" s="47">
        <f t="shared" si="21"/>
        <v>0.45391749149411109</v>
      </c>
      <c r="AG126" s="47">
        <f t="shared" si="21"/>
        <v>0.55961578793542255</v>
      </c>
      <c r="AH126" s="47">
        <f t="shared" si="21"/>
        <v>4.959694113937229E-2</v>
      </c>
      <c r="AI126" s="47">
        <f t="shared" si="21"/>
        <v>0.93954759403842236</v>
      </c>
      <c r="AJ126" s="47">
        <f t="shared" si="21"/>
        <v>-0.48884671704721566</v>
      </c>
      <c r="AK126" s="47">
        <f t="shared" si="21"/>
        <v>-0.3506568716131695</v>
      </c>
      <c r="AL126" s="47">
        <f t="shared" si="21"/>
        <v>0.18232155679395459</v>
      </c>
      <c r="AM126" s="50">
        <f t="shared" si="21"/>
        <v>-0.21570857282669181</v>
      </c>
      <c r="AN126" s="50">
        <f t="shared" si="21"/>
        <v>1.7443572303334711</v>
      </c>
      <c r="AO126" s="50">
        <f t="shared" si="21"/>
        <v>1.3966571481554371</v>
      </c>
      <c r="AP126" s="50">
        <f t="shared" si="21"/>
        <v>1.1544927470625663</v>
      </c>
      <c r="AQ126" s="50">
        <f t="shared" si="21"/>
        <v>0.55961578793542255</v>
      </c>
      <c r="AR126" s="50">
        <f t="shared" si="21"/>
        <v>0.85913231803420642</v>
      </c>
      <c r="AS126" s="50">
        <f t="shared" si="21"/>
        <v>2.3025850929940455</v>
      </c>
      <c r="AT126" s="50">
        <f t="shared" si="21"/>
        <v>1.2474579162656747</v>
      </c>
      <c r="AU126" s="50">
        <f t="shared" si="21"/>
        <v>1.1096621248546945</v>
      </c>
      <c r="AV126" s="50">
        <f t="shared" si="21"/>
        <v>1.2474579162656747</v>
      </c>
      <c r="AW126" s="50">
        <f t="shared" si="21"/>
        <v>2.0337715048466474</v>
      </c>
      <c r="AX126" s="50">
        <f t="shared" si="21"/>
        <v>2.2064412324411435</v>
      </c>
      <c r="AY126" s="50">
        <f t="shared" si="21"/>
        <v>2.521274293958875</v>
      </c>
      <c r="AZ126" s="50">
        <f t="shared" si="21"/>
        <v>2.0337715048466474</v>
      </c>
      <c r="BA126" s="50">
        <f t="shared" si="21"/>
        <v>1.1096621248546945</v>
      </c>
      <c r="BB126" s="50">
        <f t="shared" si="21"/>
        <v>1.4494732627414222</v>
      </c>
      <c r="BC126" s="50">
        <f t="shared" si="21"/>
        <v>4.0859763125515842</v>
      </c>
      <c r="BD126" s="50">
        <f t="shared" si="21"/>
        <v>1.3966571481554371</v>
      </c>
      <c r="BE126" s="50">
        <f t="shared" si="21"/>
        <v>4.0859763125515842</v>
      </c>
      <c r="BF126" s="50">
        <f t="shared" si="21"/>
        <v>4.7874917427820458</v>
      </c>
      <c r="BG126" s="44">
        <f>MIN(D126:BF126)</f>
        <v>-2.4069451083182893</v>
      </c>
      <c r="BH126" s="45"/>
      <c r="BI126" s="44"/>
      <c r="BJ126" s="44"/>
      <c r="BK126" s="44"/>
      <c r="BL126" s="44"/>
      <c r="BM126" s="44"/>
      <c r="BN126" s="44"/>
    </row>
    <row r="127" spans="1:66" s="37" customFormat="1" hidden="1" x14ac:dyDescent="0.45">
      <c r="A127" s="38"/>
      <c r="B127" s="43"/>
      <c r="C127" s="39"/>
      <c r="D127" s="47">
        <f>D126+$BG$126*(-1)+1</f>
        <v>2.2972829834635942</v>
      </c>
      <c r="E127" s="47">
        <f t="shared" ref="E127:BF127" si="22">E126+$BG$126*(-1)+1</f>
        <v>1</v>
      </c>
      <c r="F127" s="47">
        <f t="shared" si="22"/>
        <v>2.9180983912710738</v>
      </c>
      <c r="G127" s="47">
        <f t="shared" si="22"/>
        <v>3.8608625998124007</v>
      </c>
      <c r="H127" s="47">
        <f t="shared" si="22"/>
        <v>2.8473293203828667</v>
      </c>
      <c r="I127" s="47">
        <f t="shared" si="22"/>
        <v>2.6637875071836827</v>
      </c>
      <c r="J127" s="47">
        <f t="shared" si="22"/>
        <v>2.3411226424731706</v>
      </c>
      <c r="K127" s="47">
        <f t="shared" si="22"/>
        <v>3.2579095291578017</v>
      </c>
      <c r="L127" s="47">
        <f t="shared" si="22"/>
        <v>3.0902754989932562</v>
      </c>
      <c r="M127" s="47">
        <f t="shared" si="22"/>
        <v>2.3840446413858762</v>
      </c>
      <c r="N127" s="47">
        <f t="shared" si="22"/>
        <v>4.387774361330016</v>
      </c>
      <c r="O127" s="47">
        <f t="shared" si="22"/>
        <v>3.3573481671789174</v>
      </c>
      <c r="P127" s="47">
        <f t="shared" si="22"/>
        <v>2.0102879601628523</v>
      </c>
      <c r="Q127" s="47">
        <f t="shared" si="22"/>
        <v>3.4565420494576617</v>
      </c>
      <c r="R127" s="54">
        <f t="shared" si="22"/>
        <v>4.8036022564737264</v>
      </c>
      <c r="S127" s="47">
        <f t="shared" si="22"/>
        <v>3.2246235515243349</v>
      </c>
      <c r="T127" s="47">
        <f t="shared" si="22"/>
        <v>2.1594871920526146</v>
      </c>
      <c r="U127" s="47">
        <f t="shared" si="22"/>
        <v>3.0562882367051198</v>
      </c>
      <c r="V127" s="47">
        <f t="shared" si="22"/>
        <v>2.7751668741346358</v>
      </c>
      <c r="W127" s="47">
        <f t="shared" si="22"/>
        <v>2.8828742578022779</v>
      </c>
      <c r="X127" s="47">
        <f t="shared" si="22"/>
        <v>3.723614717643323</v>
      </c>
      <c r="Y127" s="47">
        <f t="shared" si="22"/>
        <v>2.547812790284083</v>
      </c>
      <c r="Z127" s="47">
        <f t="shared" si="22"/>
        <v>3.0562882367051198</v>
      </c>
      <c r="AA127" s="47">
        <f t="shared" si="22"/>
        <v>3.4896368241634028</v>
      </c>
      <c r="AB127" s="47">
        <f t="shared" si="22"/>
        <v>3.2246235515243349</v>
      </c>
      <c r="AC127" s="47">
        <f t="shared" si="22"/>
        <v>2.3840446413858762</v>
      </c>
      <c r="AD127" s="47">
        <f t="shared" si="22"/>
        <v>4.5166072331729836</v>
      </c>
      <c r="AE127" s="47">
        <f t="shared" si="22"/>
        <v>3.1240823223024572</v>
      </c>
      <c r="AF127" s="47">
        <f t="shared" si="22"/>
        <v>3.8608625998124007</v>
      </c>
      <c r="AG127" s="47">
        <f t="shared" si="22"/>
        <v>3.966560896253712</v>
      </c>
      <c r="AH127" s="47">
        <f t="shared" si="22"/>
        <v>3.4565420494576617</v>
      </c>
      <c r="AI127" s="47">
        <f t="shared" si="22"/>
        <v>4.3464927023567119</v>
      </c>
      <c r="AJ127" s="47">
        <f t="shared" si="22"/>
        <v>2.9180983912710738</v>
      </c>
      <c r="AK127" s="47">
        <f t="shared" si="22"/>
        <v>3.0562882367051198</v>
      </c>
      <c r="AL127" s="47">
        <f t="shared" si="22"/>
        <v>3.5892666651122438</v>
      </c>
      <c r="AM127" s="50">
        <f t="shared" si="22"/>
        <v>3.1912365354915977</v>
      </c>
      <c r="AN127" s="50">
        <f t="shared" si="22"/>
        <v>5.1513023386517602</v>
      </c>
      <c r="AO127" s="50">
        <f t="shared" si="22"/>
        <v>4.8036022564737264</v>
      </c>
      <c r="AP127" s="50">
        <f t="shared" si="22"/>
        <v>4.5614378553808557</v>
      </c>
      <c r="AQ127" s="50">
        <f t="shared" si="22"/>
        <v>3.966560896253712</v>
      </c>
      <c r="AR127" s="50">
        <f t="shared" si="22"/>
        <v>4.2660774263524956</v>
      </c>
      <c r="AS127" s="50">
        <f t="shared" si="22"/>
        <v>5.7095302013123348</v>
      </c>
      <c r="AT127" s="50">
        <f t="shared" si="22"/>
        <v>4.6544030245839636</v>
      </c>
      <c r="AU127" s="50">
        <f t="shared" si="22"/>
        <v>4.5166072331729836</v>
      </c>
      <c r="AV127" s="50">
        <f t="shared" si="22"/>
        <v>4.6544030245839636</v>
      </c>
      <c r="AW127" s="50">
        <f t="shared" si="22"/>
        <v>5.4407166131649367</v>
      </c>
      <c r="AX127" s="50">
        <f t="shared" si="22"/>
        <v>5.6133863407594333</v>
      </c>
      <c r="AY127" s="50">
        <f t="shared" si="22"/>
        <v>5.9282194022771648</v>
      </c>
      <c r="AZ127" s="50">
        <f t="shared" si="22"/>
        <v>5.4407166131649367</v>
      </c>
      <c r="BA127" s="50">
        <f t="shared" si="22"/>
        <v>4.5166072331729836</v>
      </c>
      <c r="BB127" s="50">
        <f t="shared" si="22"/>
        <v>4.8564183710597115</v>
      </c>
      <c r="BC127" s="50">
        <f t="shared" si="22"/>
        <v>7.4929214208698731</v>
      </c>
      <c r="BD127" s="50">
        <f t="shared" si="22"/>
        <v>4.8036022564737264</v>
      </c>
      <c r="BE127" s="50">
        <f t="shared" si="22"/>
        <v>7.4929214208698731</v>
      </c>
      <c r="BF127" s="50">
        <f t="shared" si="22"/>
        <v>8.1944368511003347</v>
      </c>
      <c r="BG127" s="44">
        <f>SUM(D127:BF127)</f>
        <v>215.29063719426668</v>
      </c>
      <c r="BH127" s="45"/>
      <c r="BI127" s="44"/>
      <c r="BJ127" s="44"/>
      <c r="BK127" s="44"/>
      <c r="BL127" s="44"/>
      <c r="BM127" s="44"/>
      <c r="BN127" s="44"/>
    </row>
  </sheetData>
  <sortState xmlns:xlrd2="http://schemas.microsoft.com/office/spreadsheetml/2017/richdata2" ref="A1:BN127">
    <sortCondition descending="1" ref="C2"/>
  </sortState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477"/>
  <sheetViews>
    <sheetView tabSelected="1" workbookViewId="0"/>
  </sheetViews>
  <sheetFormatPr defaultColWidth="9.1328125" defaultRowHeight="13.5" x14ac:dyDescent="0.35"/>
  <cols>
    <col min="1" max="1" width="5.1328125" style="16" bestFit="1" customWidth="1"/>
    <col min="2" max="2" width="34.1328125" style="9" bestFit="1" customWidth="1"/>
    <col min="3" max="3" width="3.86328125" style="9" bestFit="1" customWidth="1"/>
    <col min="4" max="58" width="4.1328125" style="9" customWidth="1"/>
    <col min="59" max="59" width="8.73046875" style="9" hidden="1" customWidth="1"/>
    <col min="60" max="60" width="8.73046875" style="18" hidden="1" customWidth="1"/>
    <col min="61" max="61" width="10.3984375" style="18" hidden="1" customWidth="1"/>
    <col min="62" max="62" width="8" style="9" hidden="1" customWidth="1"/>
    <col min="63" max="63" width="5.59765625" style="9" hidden="1" customWidth="1"/>
    <col min="64" max="64" width="4.86328125" style="9" hidden="1" customWidth="1"/>
    <col min="65" max="65" width="5.59765625" style="9" hidden="1" customWidth="1"/>
    <col min="66" max="66" width="6.3984375" style="9" bestFit="1" customWidth="1"/>
    <col min="67" max="67" width="8.59765625" style="9" bestFit="1" customWidth="1"/>
    <col min="68" max="16384" width="9.1328125" style="9"/>
  </cols>
  <sheetData>
    <row r="1" spans="1:67" x14ac:dyDescent="0.35">
      <c r="A1" s="8"/>
      <c r="B1" s="86"/>
      <c r="C1" s="87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36</v>
      </c>
      <c r="AO1" s="1">
        <v>37</v>
      </c>
      <c r="AP1" s="1">
        <v>37</v>
      </c>
      <c r="AQ1" s="1">
        <v>38</v>
      </c>
      <c r="AR1" s="1">
        <v>38</v>
      </c>
      <c r="AS1" s="1">
        <v>39</v>
      </c>
      <c r="AT1" s="1">
        <v>39</v>
      </c>
      <c r="AU1" s="1">
        <v>40</v>
      </c>
      <c r="AV1" s="1">
        <v>40</v>
      </c>
      <c r="AW1" s="1">
        <v>41</v>
      </c>
      <c r="AX1" s="1">
        <v>41</v>
      </c>
      <c r="AY1" s="1">
        <v>42</v>
      </c>
      <c r="AZ1" s="1">
        <v>42</v>
      </c>
      <c r="BA1" s="1">
        <v>43</v>
      </c>
      <c r="BB1" s="1">
        <v>43</v>
      </c>
      <c r="BC1" s="1">
        <v>44</v>
      </c>
      <c r="BD1" s="1">
        <v>44</v>
      </c>
      <c r="BE1" s="1">
        <v>45</v>
      </c>
      <c r="BF1" s="1">
        <v>45</v>
      </c>
      <c r="BG1" s="1" t="s">
        <v>0</v>
      </c>
      <c r="BH1" s="17" t="s">
        <v>0</v>
      </c>
      <c r="BI1" s="17" t="s">
        <v>1</v>
      </c>
      <c r="BJ1" s="2" t="s">
        <v>13</v>
      </c>
      <c r="BK1" s="2" t="s">
        <v>2</v>
      </c>
      <c r="BL1" s="2" t="s">
        <v>3</v>
      </c>
      <c r="BM1" s="2" t="s">
        <v>4</v>
      </c>
      <c r="BN1" s="8" t="s">
        <v>11</v>
      </c>
      <c r="BO1" s="8" t="s">
        <v>12</v>
      </c>
    </row>
    <row r="2" spans="1:67" customFormat="1" ht="14.25" x14ac:dyDescent="0.45">
      <c r="A2" s="1">
        <v>1</v>
      </c>
      <c r="B2" s="4" t="s">
        <v>9</v>
      </c>
      <c r="C2" s="1">
        <f>SUM(D2:BF2)</f>
        <v>55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5">
        <f>D2*$D$477+E2*$E$477+F2*$F$477+G2*$G$477+H2*$H$477+I2*$I$477+J2*$J$477+K2*$K$477+L2*$L$477+M2*$M$477+N2*$N$477+O2*$O$477+P2*$P$477+Q2*$Q$477+R2*$R$477+S2*$S$477+T2*$T$477+U2*$U$477+V2*$V$477+W2*W$477+X2*$X$477+Y2*$Y$477+Z2*$Z$477+AA2*$AA$477+AB2*$AB$477+AC2*$AC$477+AD2*$AD$477+AE2*$AE$477+AF2*$AF$477+AG2*$AG$477+AH2*$AH$477+AI2*$AI$477+AJ2*$AJ$477+AK2*$AK$477+AL2*$AL$477+AM2*$AM$477+AN2*$AN$477+AO2*$AO$477+AP2*$AP$477+AQ2*$AQ$477+AR2*$AR$477+AS2*$AS$477+AT2*$AT$477+AU2*$AU$477+AV2*$AV$477+AW2*$AW$477+AX2*$AX$477+AY2*$AY$477+AZ2*$AZ$477+BA2*$BA$477+BB2*$BB$477+BC2*$BC$477+BD2*$BD$477+BE2*$BE$477+BF2*$BF$477</f>
        <v>215.36658363611457</v>
      </c>
      <c r="BH2" s="3">
        <f t="shared" ref="BH2" si="0">BG2*55/$BG$2</f>
        <v>55</v>
      </c>
      <c r="BI2" s="3">
        <f t="shared" ref="BI2" si="1">55-ROUND(BH2,0)</f>
        <v>0</v>
      </c>
      <c r="BJ2" s="3">
        <f>LN(BH2/IF(BI2=0,1,BI2))</f>
        <v>4.0073331852324712</v>
      </c>
      <c r="BK2" s="3">
        <f>AVERAGE($BJ$2:$BJ$472)</f>
        <v>-0.45609683602320777</v>
      </c>
      <c r="BL2" s="3">
        <f>_xlfn.STDEV.S($BJ$2:$BJ$472)</f>
        <v>0.94333424358242735</v>
      </c>
      <c r="BM2" s="3">
        <f>(BJ2-BK2)/BL2</f>
        <v>4.7315466936780082</v>
      </c>
      <c r="BN2" s="3">
        <f>50+10*BM2</f>
        <v>97.315466936780084</v>
      </c>
      <c r="BO2" s="2" t="str">
        <f>IF(BN2&lt;45,"NC",IF(BN2&lt;50,"C",IF(BN2&lt;55,"C+",IF(BN2&lt;60,"B",IF(BN2&lt;65,"B+",IF(BN2&lt;=70,"A","A+"))))))</f>
        <v>A+</v>
      </c>
    </row>
    <row r="3" spans="1:67" x14ac:dyDescent="0.35">
      <c r="A3" s="15">
        <v>2</v>
      </c>
      <c r="B3" s="10" t="s">
        <v>55</v>
      </c>
      <c r="C3" s="1">
        <f t="shared" ref="C3:C13" si="2">SUM(D3:BF3)</f>
        <v>55</v>
      </c>
      <c r="D3" s="11">
        <v>1</v>
      </c>
      <c r="E3" s="11">
        <v>1</v>
      </c>
      <c r="F3" s="11">
        <v>1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1</v>
      </c>
      <c r="N3" s="11">
        <v>1</v>
      </c>
      <c r="O3" s="11">
        <v>1</v>
      </c>
      <c r="P3" s="11">
        <v>1</v>
      </c>
      <c r="Q3" s="11">
        <v>1</v>
      </c>
      <c r="R3" s="11">
        <v>1</v>
      </c>
      <c r="S3" s="11">
        <v>1</v>
      </c>
      <c r="T3" s="11">
        <v>1</v>
      </c>
      <c r="U3" s="11">
        <v>1</v>
      </c>
      <c r="V3" s="11">
        <v>1</v>
      </c>
      <c r="W3" s="11">
        <v>1</v>
      </c>
      <c r="X3" s="11">
        <v>1</v>
      </c>
      <c r="Y3" s="11">
        <v>1</v>
      </c>
      <c r="Z3" s="11">
        <v>1</v>
      </c>
      <c r="AA3" s="11">
        <v>1</v>
      </c>
      <c r="AB3" s="11">
        <v>1</v>
      </c>
      <c r="AC3" s="11">
        <v>1</v>
      </c>
      <c r="AD3" s="11">
        <v>1</v>
      </c>
      <c r="AE3" s="11">
        <v>1</v>
      </c>
      <c r="AF3" s="11">
        <v>1</v>
      </c>
      <c r="AG3" s="11">
        <v>1</v>
      </c>
      <c r="AH3" s="11">
        <v>1</v>
      </c>
      <c r="AI3" s="11">
        <v>1</v>
      </c>
      <c r="AJ3" s="11">
        <v>1</v>
      </c>
      <c r="AK3" s="11">
        <v>1</v>
      </c>
      <c r="AL3" s="11">
        <v>1</v>
      </c>
      <c r="AM3" s="11">
        <v>1</v>
      </c>
      <c r="AN3" s="11">
        <v>1</v>
      </c>
      <c r="AO3" s="11">
        <v>1</v>
      </c>
      <c r="AP3" s="11">
        <v>1</v>
      </c>
      <c r="AQ3" s="11">
        <v>1</v>
      </c>
      <c r="AR3" s="11">
        <v>1</v>
      </c>
      <c r="AS3" s="11">
        <v>1</v>
      </c>
      <c r="AT3" s="11">
        <v>1</v>
      </c>
      <c r="AU3" s="11">
        <v>1</v>
      </c>
      <c r="AV3" s="11">
        <v>1</v>
      </c>
      <c r="AW3" s="11">
        <v>1</v>
      </c>
      <c r="AX3" s="11">
        <v>1</v>
      </c>
      <c r="AY3" s="11">
        <v>1</v>
      </c>
      <c r="AZ3" s="11">
        <v>1</v>
      </c>
      <c r="BA3" s="11">
        <v>1</v>
      </c>
      <c r="BB3" s="11">
        <v>1</v>
      </c>
      <c r="BC3" s="11">
        <v>1</v>
      </c>
      <c r="BD3" s="11">
        <v>1</v>
      </c>
      <c r="BE3" s="11">
        <v>1</v>
      </c>
      <c r="BF3" s="11">
        <v>1</v>
      </c>
      <c r="BG3" s="5">
        <f>D3*$D$477+E3*$E$477+F3*$F$477+G3*$G$477+H3*$H$477+I3*$I$477+J3*$J$477+K3*$K$477+L3*$L$477+M3*$M$477+N3*$N$477+O3*$O$477+P3*$P$477+Q3*$Q$477+R3*$R$477+S3*$S$477+T3*$T$477+U3*$U$477+V3*$V$477+W3*W$477+X3*$X$477+Y3*$Y$477+Z3*$Z$477+AA3*$AA$477+AB3*$AB$477+AC3*$AC$477+AD3*$AD$477+AE3*$AE$477+AF3*$AF$477+AG3*$AG$477+AH3*$AH$477+AI3*$AI$477+AJ3*$AJ$477+AK3*$AK$477+AL3*$AL$477+AM3*$AM$477+AN3*$AN$477+AO3*$AO$477+AP3*$AP$477+AQ3*$AQ$477+AR3*$AR$477+AS3*$AS$477+AT3*$AT$477+AU3*$AU$477+AV3*$AV$477+AW3*$AW$477+AX3*$AX$477+AY3*$AY$477+AZ3*$AZ$477+BA3*$BA$477+BB3*$BB$477+BC3*$BC$477+BD3*$BD$477+BE3*$BE$477+BF3*$BF$477</f>
        <v>215.36658363611457</v>
      </c>
      <c r="BH3" s="3">
        <f>BG3*55/$BG$2</f>
        <v>55</v>
      </c>
      <c r="BI3" s="3">
        <f>55-BH3</f>
        <v>0</v>
      </c>
      <c r="BJ3" s="3">
        <f>LN(BH3/IF(BI3=0,1,BI3))</f>
        <v>4.0073331852324712</v>
      </c>
      <c r="BK3" s="3">
        <f t="shared" ref="BK3:BK66" si="3">AVERAGE($BJ$2:$BJ$472)</f>
        <v>-0.45609683602320777</v>
      </c>
      <c r="BL3" s="3">
        <f t="shared" ref="BL3:BL66" si="4">_xlfn.STDEV.S($BJ$2:$BJ$472)</f>
        <v>0.94333424358242735</v>
      </c>
      <c r="BM3" s="3">
        <f t="shared" ref="BM3:BM66" si="5">(BJ3-BK3)/BL3</f>
        <v>4.7315466936780082</v>
      </c>
      <c r="BN3" s="3">
        <f t="shared" ref="BN3:BN66" si="6">50+10*BM3</f>
        <v>97.315466936780084</v>
      </c>
      <c r="BO3" s="2" t="str">
        <f t="shared" ref="BO3:BO66" si="7">IF(BN3&lt;45,"NC",IF(BN3&lt;50,"C",IF(BN3&lt;55,"C+",IF(BN3&lt;60,"B",IF(BN3&lt;65,"B+",IF(BN3&lt;=70,"A","A+"))))))</f>
        <v>A+</v>
      </c>
    </row>
    <row r="4" spans="1:67" x14ac:dyDescent="0.35">
      <c r="A4" s="15">
        <v>3</v>
      </c>
      <c r="B4" s="10" t="s">
        <v>56</v>
      </c>
      <c r="C4" s="1">
        <f t="shared" si="2"/>
        <v>55</v>
      </c>
      <c r="D4" s="11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1">
        <v>1</v>
      </c>
      <c r="AG4" s="11">
        <v>1</v>
      </c>
      <c r="AH4" s="11">
        <v>1</v>
      </c>
      <c r="AI4" s="11">
        <v>1</v>
      </c>
      <c r="AJ4" s="11">
        <v>1</v>
      </c>
      <c r="AK4" s="11">
        <v>1</v>
      </c>
      <c r="AL4" s="11">
        <v>1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1</v>
      </c>
      <c r="AT4" s="11">
        <v>1</v>
      </c>
      <c r="AU4" s="11">
        <v>1</v>
      </c>
      <c r="AV4" s="11">
        <v>1</v>
      </c>
      <c r="AW4" s="11">
        <v>1</v>
      </c>
      <c r="AX4" s="11">
        <v>1</v>
      </c>
      <c r="AY4" s="11">
        <v>1</v>
      </c>
      <c r="AZ4" s="11">
        <v>1</v>
      </c>
      <c r="BA4" s="11">
        <v>1</v>
      </c>
      <c r="BB4" s="11">
        <v>1</v>
      </c>
      <c r="BC4" s="11">
        <v>1</v>
      </c>
      <c r="BD4" s="11">
        <v>1</v>
      </c>
      <c r="BE4" s="11">
        <v>1</v>
      </c>
      <c r="BF4" s="11">
        <v>1</v>
      </c>
      <c r="BG4" s="5">
        <f t="shared" ref="BG4:BG67" si="8">D4*$D$477+E4*$E$477+F4*$F$477+G4*$G$477+H4*$H$477+I4*$I$477+J4*$J$477+K4*$K$477+L4*$L$477+M4*$M$477+N4*$N$477+O4*$O$477+P4*$P$477+Q4*$Q$477+R4*$R$477+S4*$S$477+T4*$T$477+U4*$U$477+V4*$V$477+W4*W$477+X4*$X$477+Y4*$Y$477+Z4*$Z$477+AA4*$AA$477+AB4*$AB$477+AC4*$AC$477+AD4*$AD$477+AE4*$AE$477+AF4*$AF$477+AG4*$AG$477+AH4*$AH$477+AI4*$AI$477+AJ4*$AJ$477+AK4*$AK$477+AL4*$AL$477+AM4*$AM$477+AN4*$AN$477+AO4*$AO$477+AP4*$AP$477+AQ4*$AQ$477+AR4*$AR$477+AS4*$AS$477+AT4*$AT$477+AU4*$AU$477+AV4*$AV$477+AW4*$AW$477+AX4*$AX$477+AY4*$AY$477+AZ4*$AZ$477+BA4*$BA$477+BB4*$BB$477+BC4*$BC$477+BD4*$BD$477+BE4*$BE$477+BF4*$BF$477</f>
        <v>215.36658363611457</v>
      </c>
      <c r="BH4" s="3">
        <f t="shared" ref="BH4:BH67" si="9">BG4*55/$BG$2</f>
        <v>55</v>
      </c>
      <c r="BI4" s="3">
        <f t="shared" ref="BI4:BI67" si="10">55-BH4</f>
        <v>0</v>
      </c>
      <c r="BJ4" s="3">
        <f t="shared" ref="BJ4:BJ16" si="11">LN(BH4/IF(BI4=0,1,BI4))</f>
        <v>4.0073331852324712</v>
      </c>
      <c r="BK4" s="3">
        <f t="shared" si="3"/>
        <v>-0.45609683602320777</v>
      </c>
      <c r="BL4" s="3">
        <f t="shared" si="4"/>
        <v>0.94333424358242735</v>
      </c>
      <c r="BM4" s="3">
        <f t="shared" si="5"/>
        <v>4.7315466936780082</v>
      </c>
      <c r="BN4" s="3">
        <f t="shared" si="6"/>
        <v>97.315466936780084</v>
      </c>
      <c r="BO4" s="2" t="str">
        <f t="shared" si="7"/>
        <v>A+</v>
      </c>
    </row>
    <row r="5" spans="1:67" x14ac:dyDescent="0.35">
      <c r="A5" s="1">
        <v>4</v>
      </c>
      <c r="B5" s="10" t="s">
        <v>57</v>
      </c>
      <c r="C5" s="1">
        <f t="shared" si="2"/>
        <v>54</v>
      </c>
      <c r="D5" s="11">
        <v>1</v>
      </c>
      <c r="E5" s="11">
        <v>1</v>
      </c>
      <c r="F5" s="11">
        <v>1</v>
      </c>
      <c r="G5" s="11">
        <v>1</v>
      </c>
      <c r="H5" s="11">
        <v>1</v>
      </c>
      <c r="I5" s="11">
        <v>1</v>
      </c>
      <c r="J5" s="11">
        <v>1</v>
      </c>
      <c r="K5" s="11">
        <v>1</v>
      </c>
      <c r="L5" s="11">
        <v>1</v>
      </c>
      <c r="M5" s="11">
        <v>1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1</v>
      </c>
      <c r="Y5" s="11">
        <v>1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1">
        <v>1</v>
      </c>
      <c r="AG5" s="11">
        <v>1</v>
      </c>
      <c r="AH5" s="11">
        <v>1</v>
      </c>
      <c r="AI5" s="11">
        <v>1</v>
      </c>
      <c r="AJ5" s="11">
        <v>1</v>
      </c>
      <c r="AK5" s="11">
        <v>1</v>
      </c>
      <c r="AL5" s="11">
        <v>1</v>
      </c>
      <c r="AM5" s="11">
        <v>1</v>
      </c>
      <c r="AN5" s="11">
        <v>1</v>
      </c>
      <c r="AO5" s="11">
        <v>1</v>
      </c>
      <c r="AP5" s="11">
        <v>1</v>
      </c>
      <c r="AQ5" s="11">
        <v>1</v>
      </c>
      <c r="AR5" s="11">
        <v>1</v>
      </c>
      <c r="AS5" s="11">
        <v>0</v>
      </c>
      <c r="AT5" s="11">
        <v>1</v>
      </c>
      <c r="AU5" s="11">
        <v>1</v>
      </c>
      <c r="AV5" s="11">
        <v>1</v>
      </c>
      <c r="AW5" s="11">
        <v>1</v>
      </c>
      <c r="AX5" s="11">
        <v>1</v>
      </c>
      <c r="AY5" s="11">
        <v>1</v>
      </c>
      <c r="AZ5" s="11">
        <v>1</v>
      </c>
      <c r="BA5" s="11">
        <v>1</v>
      </c>
      <c r="BB5" s="11">
        <v>1</v>
      </c>
      <c r="BC5" s="11">
        <v>1</v>
      </c>
      <c r="BD5" s="11">
        <v>1</v>
      </c>
      <c r="BE5" s="11">
        <v>1</v>
      </c>
      <c r="BF5" s="11">
        <v>1</v>
      </c>
      <c r="BG5" s="5">
        <f t="shared" si="8"/>
        <v>210.3781983471462</v>
      </c>
      <c r="BH5" s="3">
        <f t="shared" si="9"/>
        <v>53.726073533502188</v>
      </c>
      <c r="BI5" s="3">
        <f t="shared" si="10"/>
        <v>1.2739264664978123</v>
      </c>
      <c r="BJ5" s="3">
        <f t="shared" si="11"/>
        <v>3.7417945874595686</v>
      </c>
      <c r="BK5" s="3">
        <f t="shared" si="3"/>
        <v>-0.45609683602320777</v>
      </c>
      <c r="BL5" s="3">
        <f t="shared" si="4"/>
        <v>0.94333424358242735</v>
      </c>
      <c r="BM5" s="3">
        <f t="shared" si="5"/>
        <v>4.4500572856772056</v>
      </c>
      <c r="BN5" s="3">
        <f t="shared" si="6"/>
        <v>94.500572856772052</v>
      </c>
      <c r="BO5" s="2" t="str">
        <f t="shared" si="7"/>
        <v>A+</v>
      </c>
    </row>
    <row r="6" spans="1:67" x14ac:dyDescent="0.35">
      <c r="A6" s="15">
        <v>5</v>
      </c>
      <c r="B6" s="10" t="s">
        <v>58</v>
      </c>
      <c r="C6" s="1">
        <f t="shared" si="2"/>
        <v>53</v>
      </c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1</v>
      </c>
      <c r="U6" s="11">
        <v>1</v>
      </c>
      <c r="V6" s="11">
        <v>1</v>
      </c>
      <c r="W6" s="11">
        <v>1</v>
      </c>
      <c r="X6" s="11">
        <v>1</v>
      </c>
      <c r="Y6" s="11">
        <v>1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1">
        <v>1</v>
      </c>
      <c r="AG6" s="11">
        <v>1</v>
      </c>
      <c r="AH6" s="11">
        <v>1</v>
      </c>
      <c r="AI6" s="11">
        <v>1</v>
      </c>
      <c r="AJ6" s="11">
        <v>1</v>
      </c>
      <c r="AK6" s="11">
        <v>1</v>
      </c>
      <c r="AL6" s="11">
        <v>1</v>
      </c>
      <c r="AM6" s="11">
        <v>1</v>
      </c>
      <c r="AN6" s="11">
        <v>1</v>
      </c>
      <c r="AO6" s="11">
        <v>0</v>
      </c>
      <c r="AP6" s="11">
        <v>0</v>
      </c>
      <c r="AQ6" s="11">
        <v>1</v>
      </c>
      <c r="AR6" s="11">
        <v>1</v>
      </c>
      <c r="AS6" s="11">
        <v>1</v>
      </c>
      <c r="AT6" s="11">
        <v>1</v>
      </c>
      <c r="AU6" s="11">
        <v>1</v>
      </c>
      <c r="AV6" s="11">
        <v>1</v>
      </c>
      <c r="AW6" s="11">
        <v>1</v>
      </c>
      <c r="AX6" s="11">
        <v>1</v>
      </c>
      <c r="AY6" s="11">
        <v>1</v>
      </c>
      <c r="AZ6" s="11">
        <v>1</v>
      </c>
      <c r="BA6" s="11">
        <v>1</v>
      </c>
      <c r="BB6" s="11">
        <v>1</v>
      </c>
      <c r="BC6" s="11">
        <v>1</v>
      </c>
      <c r="BD6" s="11">
        <v>1</v>
      </c>
      <c r="BE6" s="11">
        <v>1</v>
      </c>
      <c r="BF6" s="11">
        <v>1</v>
      </c>
      <c r="BG6" s="5">
        <f t="shared" si="8"/>
        <v>204.0303433472335</v>
      </c>
      <c r="BH6" s="3">
        <f t="shared" si="9"/>
        <v>52.104967700365627</v>
      </c>
      <c r="BI6" s="3">
        <f t="shared" si="10"/>
        <v>2.8950322996343729</v>
      </c>
      <c r="BJ6" s="3">
        <f t="shared" si="11"/>
        <v>2.8902640255451417</v>
      </c>
      <c r="BK6" s="3">
        <f t="shared" si="3"/>
        <v>-0.45609683602320777</v>
      </c>
      <c r="BL6" s="3">
        <f t="shared" si="4"/>
        <v>0.94333424358242735</v>
      </c>
      <c r="BM6" s="3">
        <f t="shared" si="5"/>
        <v>3.5473755822327981</v>
      </c>
      <c r="BN6" s="3">
        <f t="shared" si="6"/>
        <v>85.473755822327973</v>
      </c>
      <c r="BO6" s="2" t="str">
        <f t="shared" si="7"/>
        <v>A+</v>
      </c>
    </row>
    <row r="7" spans="1:67" x14ac:dyDescent="0.35">
      <c r="A7" s="15">
        <v>6</v>
      </c>
      <c r="B7" s="12">
        <v>1018997</v>
      </c>
      <c r="C7" s="1">
        <f t="shared" si="2"/>
        <v>51</v>
      </c>
      <c r="D7" s="11">
        <v>1</v>
      </c>
      <c r="E7" s="11">
        <v>1</v>
      </c>
      <c r="F7" s="11">
        <v>1</v>
      </c>
      <c r="G7" s="11">
        <v>1</v>
      </c>
      <c r="H7" s="11">
        <v>0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0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>
        <v>1</v>
      </c>
      <c r="AM7" s="11">
        <v>1</v>
      </c>
      <c r="AN7" s="11">
        <v>1</v>
      </c>
      <c r="AO7" s="11">
        <v>1</v>
      </c>
      <c r="AP7" s="11">
        <v>1</v>
      </c>
      <c r="AQ7" s="11">
        <v>1</v>
      </c>
      <c r="AR7" s="11">
        <v>1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11">
        <v>1</v>
      </c>
      <c r="AZ7" s="11">
        <v>0</v>
      </c>
      <c r="BA7" s="11">
        <v>1</v>
      </c>
      <c r="BB7" s="11">
        <v>1</v>
      </c>
      <c r="BC7" s="11">
        <v>1</v>
      </c>
      <c r="BD7" s="11">
        <v>1</v>
      </c>
      <c r="BE7" s="11">
        <v>1</v>
      </c>
      <c r="BF7" s="11">
        <v>1</v>
      </c>
      <c r="BG7" s="5">
        <f t="shared" si="8"/>
        <v>199.82585897538615</v>
      </c>
      <c r="BH7" s="3">
        <f t="shared" si="9"/>
        <v>51.031232692142069</v>
      </c>
      <c r="BI7" s="3">
        <f t="shared" si="10"/>
        <v>3.9687673078579309</v>
      </c>
      <c r="BJ7" s="3">
        <f t="shared" si="11"/>
        <v>2.553982306324313</v>
      </c>
      <c r="BK7" s="3">
        <f t="shared" si="3"/>
        <v>-0.45609683602320777</v>
      </c>
      <c r="BL7" s="3">
        <f t="shared" si="4"/>
        <v>0.94333424358242735</v>
      </c>
      <c r="BM7" s="3">
        <f t="shared" si="5"/>
        <v>3.1908935383458319</v>
      </c>
      <c r="BN7" s="3">
        <f t="shared" si="6"/>
        <v>81.908935383458328</v>
      </c>
      <c r="BO7" s="2" t="str">
        <f t="shared" si="7"/>
        <v>A+</v>
      </c>
    </row>
    <row r="8" spans="1:67" x14ac:dyDescent="0.35">
      <c r="A8" s="1">
        <v>7</v>
      </c>
      <c r="B8" s="12">
        <v>2000499</v>
      </c>
      <c r="C8" s="1">
        <f t="shared" si="2"/>
        <v>51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0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0</v>
      </c>
      <c r="AM8" s="11">
        <v>1</v>
      </c>
      <c r="AN8" s="11">
        <v>1</v>
      </c>
      <c r="AO8" s="11">
        <v>1</v>
      </c>
      <c r="AP8" s="11">
        <v>1</v>
      </c>
      <c r="AQ8" s="11">
        <v>1</v>
      </c>
      <c r="AR8" s="11">
        <v>1</v>
      </c>
      <c r="AS8" s="11">
        <v>1</v>
      </c>
      <c r="AT8" s="11">
        <v>1</v>
      </c>
      <c r="AU8" s="11">
        <v>1</v>
      </c>
      <c r="AV8" s="11">
        <v>1</v>
      </c>
      <c r="AW8" s="11">
        <v>1</v>
      </c>
      <c r="AX8" s="11">
        <v>1</v>
      </c>
      <c r="AY8" s="11">
        <v>1</v>
      </c>
      <c r="AZ8" s="11">
        <v>1</v>
      </c>
      <c r="BA8" s="11">
        <v>1</v>
      </c>
      <c r="BB8" s="11">
        <v>1</v>
      </c>
      <c r="BC8" s="11">
        <v>1</v>
      </c>
      <c r="BD8" s="11">
        <v>1</v>
      </c>
      <c r="BE8" s="11">
        <v>0</v>
      </c>
      <c r="BF8" s="11">
        <v>0</v>
      </c>
      <c r="BG8" s="5">
        <f t="shared" si="8"/>
        <v>193.2197657891102</v>
      </c>
      <c r="BH8" s="3">
        <f t="shared" si="9"/>
        <v>49.344178372428885</v>
      </c>
      <c r="BI8" s="3">
        <f t="shared" si="10"/>
        <v>5.6558216275711146</v>
      </c>
      <c r="BJ8" s="3">
        <f t="shared" si="11"/>
        <v>2.166134401564038</v>
      </c>
      <c r="BK8" s="3">
        <f t="shared" si="3"/>
        <v>-0.45609683602320777</v>
      </c>
      <c r="BL8" s="3">
        <f t="shared" si="4"/>
        <v>0.94333424358242735</v>
      </c>
      <c r="BM8" s="3">
        <f t="shared" si="5"/>
        <v>2.7797477462802593</v>
      </c>
      <c r="BN8" s="3">
        <f t="shared" si="6"/>
        <v>77.79747746280259</v>
      </c>
      <c r="BO8" s="2" t="str">
        <f t="shared" si="7"/>
        <v>A+</v>
      </c>
    </row>
    <row r="9" spans="1:67" x14ac:dyDescent="0.35">
      <c r="A9" s="15">
        <v>8</v>
      </c>
      <c r="B9" s="10" t="s">
        <v>59</v>
      </c>
      <c r="C9" s="1">
        <f t="shared" si="2"/>
        <v>50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1">
        <v>1</v>
      </c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0</v>
      </c>
      <c r="AC9" s="11">
        <v>1</v>
      </c>
      <c r="AD9" s="11">
        <v>1</v>
      </c>
      <c r="AE9" s="11">
        <v>0</v>
      </c>
      <c r="AF9" s="11">
        <v>1</v>
      </c>
      <c r="AG9" s="11">
        <v>1</v>
      </c>
      <c r="AH9" s="11">
        <v>1</v>
      </c>
      <c r="AI9" s="11">
        <v>1</v>
      </c>
      <c r="AJ9" s="11">
        <v>1</v>
      </c>
      <c r="AK9" s="11">
        <v>1</v>
      </c>
      <c r="AL9" s="11">
        <v>1</v>
      </c>
      <c r="AM9" s="11">
        <v>1</v>
      </c>
      <c r="AN9" s="11">
        <v>1</v>
      </c>
      <c r="AO9" s="11">
        <v>1</v>
      </c>
      <c r="AP9" s="11">
        <v>0</v>
      </c>
      <c r="AQ9" s="11">
        <v>1</v>
      </c>
      <c r="AR9" s="11">
        <v>1</v>
      </c>
      <c r="AS9" s="11">
        <v>1</v>
      </c>
      <c r="AT9" s="11">
        <v>1</v>
      </c>
      <c r="AU9" s="11">
        <v>0</v>
      </c>
      <c r="AV9" s="11">
        <v>0</v>
      </c>
      <c r="AW9" s="11">
        <v>1</v>
      </c>
      <c r="AX9" s="11">
        <v>1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  <c r="BD9" s="11">
        <v>1</v>
      </c>
      <c r="BE9" s="11">
        <v>1</v>
      </c>
      <c r="BF9" s="11">
        <v>1</v>
      </c>
      <c r="BG9" s="5">
        <f t="shared" si="8"/>
        <v>189.9721222495258</v>
      </c>
      <c r="BH9" s="3">
        <f t="shared" si="9"/>
        <v>48.514799962550121</v>
      </c>
      <c r="BI9" s="3">
        <f t="shared" si="10"/>
        <v>6.4852000374498786</v>
      </c>
      <c r="BJ9" s="3">
        <f t="shared" si="11"/>
        <v>2.0123462417920335</v>
      </c>
      <c r="BK9" s="3">
        <f t="shared" si="3"/>
        <v>-0.45609683602320777</v>
      </c>
      <c r="BL9" s="3">
        <f t="shared" si="4"/>
        <v>0.94333424358242735</v>
      </c>
      <c r="BM9" s="3">
        <f t="shared" si="5"/>
        <v>2.6167215858093162</v>
      </c>
      <c r="BN9" s="3">
        <f t="shared" si="6"/>
        <v>76.167215858093158</v>
      </c>
      <c r="BO9" s="2" t="str">
        <f t="shared" si="7"/>
        <v>A+</v>
      </c>
    </row>
    <row r="10" spans="1:67" x14ac:dyDescent="0.35">
      <c r="A10" s="15">
        <v>9</v>
      </c>
      <c r="B10" s="10" t="s">
        <v>60</v>
      </c>
      <c r="C10" s="1">
        <f t="shared" si="2"/>
        <v>50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0</v>
      </c>
      <c r="AC10" s="11">
        <v>1</v>
      </c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1</v>
      </c>
      <c r="AJ10" s="11">
        <v>1</v>
      </c>
      <c r="AK10" s="11">
        <v>1</v>
      </c>
      <c r="AL10" s="11">
        <v>1</v>
      </c>
      <c r="AM10" s="11">
        <v>1</v>
      </c>
      <c r="AN10" s="11">
        <v>1</v>
      </c>
      <c r="AO10" s="11">
        <v>0</v>
      </c>
      <c r="AP10" s="11">
        <v>0</v>
      </c>
      <c r="AQ10" s="11">
        <v>1</v>
      </c>
      <c r="AR10" s="11">
        <v>1</v>
      </c>
      <c r="AS10" s="11">
        <v>1</v>
      </c>
      <c r="AT10" s="11">
        <v>1</v>
      </c>
      <c r="AU10" s="11">
        <v>1</v>
      </c>
      <c r="AV10" s="11">
        <v>1</v>
      </c>
      <c r="AW10" s="11">
        <v>0</v>
      </c>
      <c r="AX10" s="11">
        <v>0</v>
      </c>
      <c r="AY10" s="11">
        <v>1</v>
      </c>
      <c r="AZ10" s="11">
        <v>1</v>
      </c>
      <c r="BA10" s="11">
        <v>1</v>
      </c>
      <c r="BB10" s="11">
        <v>1</v>
      </c>
      <c r="BC10" s="11">
        <v>1</v>
      </c>
      <c r="BD10" s="11">
        <v>1</v>
      </c>
      <c r="BE10" s="11">
        <v>1</v>
      </c>
      <c r="BF10" s="11">
        <v>1</v>
      </c>
      <c r="BG10" s="5">
        <f t="shared" si="8"/>
        <v>187.16721128677193</v>
      </c>
      <c r="BH10" s="3">
        <f t="shared" si="9"/>
        <v>47.798485944159417</v>
      </c>
      <c r="BI10" s="3">
        <f t="shared" si="10"/>
        <v>7.2015140558405832</v>
      </c>
      <c r="BJ10" s="3">
        <f t="shared" si="11"/>
        <v>1.8927026747388522</v>
      </c>
      <c r="BK10" s="3">
        <f t="shared" si="3"/>
        <v>-0.45609683602320777</v>
      </c>
      <c r="BL10" s="3">
        <f t="shared" si="4"/>
        <v>0.94333424358242735</v>
      </c>
      <c r="BM10" s="3">
        <f t="shared" si="5"/>
        <v>2.4898910717395415</v>
      </c>
      <c r="BN10" s="3">
        <f t="shared" si="6"/>
        <v>74.89891071739541</v>
      </c>
      <c r="BO10" s="2" t="str">
        <f t="shared" si="7"/>
        <v>A+</v>
      </c>
    </row>
    <row r="11" spans="1:67" x14ac:dyDescent="0.35">
      <c r="A11" s="1">
        <v>10</v>
      </c>
      <c r="B11" s="10" t="s">
        <v>61</v>
      </c>
      <c r="C11" s="1">
        <f t="shared" si="2"/>
        <v>48</v>
      </c>
      <c r="D11" s="11">
        <v>0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0</v>
      </c>
      <c r="AD11" s="11">
        <v>1</v>
      </c>
      <c r="AE11" s="11">
        <v>0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>
        <v>1</v>
      </c>
      <c r="AM11" s="11">
        <v>1</v>
      </c>
      <c r="AN11" s="11">
        <v>1</v>
      </c>
      <c r="AO11" s="11">
        <v>0</v>
      </c>
      <c r="AP11" s="11">
        <v>1</v>
      </c>
      <c r="AQ11" s="11">
        <v>1</v>
      </c>
      <c r="AR11" s="11">
        <v>1</v>
      </c>
      <c r="AS11" s="11">
        <v>0</v>
      </c>
      <c r="AT11" s="11">
        <v>1</v>
      </c>
      <c r="AU11" s="11">
        <v>1</v>
      </c>
      <c r="AV11" s="11">
        <v>0</v>
      </c>
      <c r="AW11" s="11">
        <v>1</v>
      </c>
      <c r="AX11" s="11">
        <v>1</v>
      </c>
      <c r="AY11" s="11">
        <v>1</v>
      </c>
      <c r="AZ11" s="11">
        <v>1</v>
      </c>
      <c r="BA11" s="11">
        <v>0</v>
      </c>
      <c r="BB11" s="11">
        <v>1</v>
      </c>
      <c r="BC11" s="11">
        <v>1</v>
      </c>
      <c r="BD11" s="11">
        <v>1</v>
      </c>
      <c r="BE11" s="11">
        <v>1</v>
      </c>
      <c r="BF11" s="11">
        <v>1</v>
      </c>
      <c r="BG11" s="5">
        <f t="shared" si="8"/>
        <v>185.9113129015964</v>
      </c>
      <c r="BH11" s="3">
        <f t="shared" si="9"/>
        <v>47.477756469705</v>
      </c>
      <c r="BI11" s="3">
        <f t="shared" si="10"/>
        <v>7.5222435302950004</v>
      </c>
      <c r="BJ11" s="3">
        <f t="shared" si="11"/>
        <v>1.8423968812514551</v>
      </c>
      <c r="BK11" s="3">
        <f t="shared" si="3"/>
        <v>-0.45609683602320777</v>
      </c>
      <c r="BL11" s="3">
        <f t="shared" si="4"/>
        <v>0.94333424358242735</v>
      </c>
      <c r="BM11" s="3">
        <f t="shared" si="5"/>
        <v>2.4365634269205065</v>
      </c>
      <c r="BN11" s="3">
        <f t="shared" si="6"/>
        <v>74.36563426920506</v>
      </c>
      <c r="BO11" s="2" t="str">
        <f t="shared" si="7"/>
        <v>A+</v>
      </c>
    </row>
    <row r="12" spans="1:67" x14ac:dyDescent="0.35">
      <c r="A12" s="15">
        <v>11</v>
      </c>
      <c r="B12" s="10" t="s">
        <v>62</v>
      </c>
      <c r="C12" s="1">
        <f t="shared" si="2"/>
        <v>48</v>
      </c>
      <c r="D12" s="11">
        <v>1</v>
      </c>
      <c r="E12" s="11">
        <v>1</v>
      </c>
      <c r="F12" s="11">
        <v>0</v>
      </c>
      <c r="G12" s="11">
        <v>1</v>
      </c>
      <c r="H12" s="11">
        <v>1</v>
      </c>
      <c r="I12" s="11">
        <v>1</v>
      </c>
      <c r="J12" s="11">
        <v>1</v>
      </c>
      <c r="K12" s="11">
        <v>1</v>
      </c>
      <c r="L12" s="11">
        <v>1</v>
      </c>
      <c r="M12" s="11">
        <v>1</v>
      </c>
      <c r="N12" s="11">
        <v>1</v>
      </c>
      <c r="O12" s="11">
        <v>1</v>
      </c>
      <c r="P12" s="11">
        <v>0</v>
      </c>
      <c r="Q12" s="11">
        <v>1</v>
      </c>
      <c r="R12" s="11">
        <v>0</v>
      </c>
      <c r="S12" s="11">
        <v>1</v>
      </c>
      <c r="T12" s="11">
        <v>1</v>
      </c>
      <c r="U12" s="11">
        <v>1</v>
      </c>
      <c r="V12" s="11">
        <v>1</v>
      </c>
      <c r="W12" s="11">
        <v>1</v>
      </c>
      <c r="X12" s="11">
        <v>1</v>
      </c>
      <c r="Y12" s="11">
        <v>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1">
        <v>1</v>
      </c>
      <c r="AG12" s="11">
        <v>1</v>
      </c>
      <c r="AH12" s="11">
        <v>1</v>
      </c>
      <c r="AI12" s="11">
        <v>0</v>
      </c>
      <c r="AJ12" s="11">
        <v>1</v>
      </c>
      <c r="AK12" s="11">
        <v>1</v>
      </c>
      <c r="AL12" s="11">
        <v>1</v>
      </c>
      <c r="AM12" s="11">
        <v>1</v>
      </c>
      <c r="AN12" s="11">
        <v>1</v>
      </c>
      <c r="AO12" s="11">
        <v>1</v>
      </c>
      <c r="AP12" s="11">
        <v>1</v>
      </c>
      <c r="AQ12" s="11">
        <v>1</v>
      </c>
      <c r="AR12" s="11">
        <v>1</v>
      </c>
      <c r="AS12" s="11">
        <v>0</v>
      </c>
      <c r="AT12" s="11">
        <v>1</v>
      </c>
      <c r="AU12" s="11">
        <v>1</v>
      </c>
      <c r="AV12" s="11">
        <v>1</v>
      </c>
      <c r="AW12" s="11">
        <v>1</v>
      </c>
      <c r="AX12" s="11">
        <v>1</v>
      </c>
      <c r="AY12" s="11">
        <v>1</v>
      </c>
      <c r="AZ12" s="11">
        <v>1</v>
      </c>
      <c r="BA12" s="11">
        <v>1</v>
      </c>
      <c r="BB12" s="11">
        <v>1</v>
      </c>
      <c r="BC12" s="11">
        <v>1</v>
      </c>
      <c r="BD12" s="11">
        <v>1</v>
      </c>
      <c r="BE12" s="11">
        <v>0</v>
      </c>
      <c r="BF12" s="11">
        <v>0</v>
      </c>
      <c r="BG12" s="5">
        <f t="shared" si="8"/>
        <v>183.46385538637173</v>
      </c>
      <c r="BH12" s="3">
        <f t="shared" si="9"/>
        <v>46.852728384731549</v>
      </c>
      <c r="BI12" s="3">
        <f t="shared" si="10"/>
        <v>8.1472716152684512</v>
      </c>
      <c r="BJ12" s="3">
        <f t="shared" si="11"/>
        <v>1.7493261435175051</v>
      </c>
      <c r="BK12" s="3">
        <f t="shared" si="3"/>
        <v>-0.45609683602320777</v>
      </c>
      <c r="BL12" s="3">
        <f t="shared" si="4"/>
        <v>0.94333424358242735</v>
      </c>
      <c r="BM12" s="3">
        <f t="shared" si="5"/>
        <v>2.3379019626864697</v>
      </c>
      <c r="BN12" s="3">
        <f t="shared" si="6"/>
        <v>73.379019626864704</v>
      </c>
      <c r="BO12" s="2" t="str">
        <f t="shared" si="7"/>
        <v>A+</v>
      </c>
    </row>
    <row r="13" spans="1:67" x14ac:dyDescent="0.35">
      <c r="A13" s="15">
        <v>12</v>
      </c>
      <c r="B13" s="12">
        <v>1123454</v>
      </c>
      <c r="C13" s="1">
        <f t="shared" si="2"/>
        <v>49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  <c r="V13" s="11">
        <v>1</v>
      </c>
      <c r="W13" s="11">
        <v>1</v>
      </c>
      <c r="X13" s="11">
        <v>1</v>
      </c>
      <c r="Y13" s="11">
        <v>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1">
        <v>1</v>
      </c>
      <c r="AG13" s="11">
        <v>1</v>
      </c>
      <c r="AH13" s="11">
        <v>1</v>
      </c>
      <c r="AI13" s="11">
        <v>1</v>
      </c>
      <c r="AJ13" s="11">
        <v>1</v>
      </c>
      <c r="AK13" s="11">
        <v>1</v>
      </c>
      <c r="AL13" s="11">
        <v>1</v>
      </c>
      <c r="AM13" s="11">
        <v>1</v>
      </c>
      <c r="AN13" s="11">
        <v>1</v>
      </c>
      <c r="AO13" s="11">
        <v>1</v>
      </c>
      <c r="AP13" s="11">
        <v>0</v>
      </c>
      <c r="AQ13" s="11">
        <v>1</v>
      </c>
      <c r="AR13" s="11">
        <v>1</v>
      </c>
      <c r="AS13" s="11">
        <v>1</v>
      </c>
      <c r="AT13" s="11">
        <v>1</v>
      </c>
      <c r="AU13" s="11">
        <v>1</v>
      </c>
      <c r="AV13" s="11">
        <v>1</v>
      </c>
      <c r="AW13" s="11">
        <v>0</v>
      </c>
      <c r="AX13" s="11">
        <v>0</v>
      </c>
      <c r="AY13" s="11">
        <v>0</v>
      </c>
      <c r="AZ13" s="11">
        <v>1</v>
      </c>
      <c r="BA13" s="11">
        <v>0</v>
      </c>
      <c r="BB13" s="11">
        <v>0</v>
      </c>
      <c r="BC13" s="11">
        <v>1</v>
      </c>
      <c r="BD13" s="11">
        <v>1</v>
      </c>
      <c r="BE13" s="11">
        <v>1</v>
      </c>
      <c r="BF13" s="11">
        <v>1</v>
      </c>
      <c r="BG13" s="5">
        <f t="shared" si="8"/>
        <v>183.29151773903922</v>
      </c>
      <c r="BH13" s="3">
        <f t="shared" si="9"/>
        <v>46.808717050924514</v>
      </c>
      <c r="BI13" s="3">
        <f t="shared" si="10"/>
        <v>8.1912829490754859</v>
      </c>
      <c r="BJ13" s="3">
        <f t="shared" si="11"/>
        <v>1.7429989135152333</v>
      </c>
      <c r="BK13" s="3">
        <f t="shared" si="3"/>
        <v>-0.45609683602320777</v>
      </c>
      <c r="BL13" s="3">
        <f t="shared" si="4"/>
        <v>0.94333424358242735</v>
      </c>
      <c r="BM13" s="3">
        <f t="shared" si="5"/>
        <v>2.3311946582020657</v>
      </c>
      <c r="BN13" s="3">
        <f t="shared" si="6"/>
        <v>73.311946582020653</v>
      </c>
      <c r="BO13" s="2" t="str">
        <f t="shared" si="7"/>
        <v>A+</v>
      </c>
    </row>
    <row r="14" spans="1:67" x14ac:dyDescent="0.35">
      <c r="A14" s="1">
        <v>13</v>
      </c>
      <c r="B14" s="10" t="s">
        <v>63</v>
      </c>
      <c r="C14" s="11">
        <v>47</v>
      </c>
      <c r="D14" s="11">
        <v>1</v>
      </c>
      <c r="E14" s="11">
        <v>1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  <c r="M14" s="11">
        <v>1</v>
      </c>
      <c r="N14" s="11">
        <v>1</v>
      </c>
      <c r="O14" s="11">
        <v>1</v>
      </c>
      <c r="P14" s="11">
        <v>1</v>
      </c>
      <c r="Q14" s="11">
        <v>1</v>
      </c>
      <c r="R14" s="11">
        <v>1</v>
      </c>
      <c r="S14" s="11">
        <v>1</v>
      </c>
      <c r="T14" s="11">
        <v>1</v>
      </c>
      <c r="U14" s="11">
        <v>1</v>
      </c>
      <c r="V14" s="11">
        <v>1</v>
      </c>
      <c r="W14" s="11">
        <v>1</v>
      </c>
      <c r="X14" s="11">
        <v>1</v>
      </c>
      <c r="Y14" s="11">
        <v>1</v>
      </c>
      <c r="Z14" s="11">
        <v>1</v>
      </c>
      <c r="AA14" s="11">
        <v>1</v>
      </c>
      <c r="AB14" s="11">
        <v>0</v>
      </c>
      <c r="AC14" s="11">
        <v>1</v>
      </c>
      <c r="AD14" s="11">
        <v>1</v>
      </c>
      <c r="AE14" s="11">
        <v>1</v>
      </c>
      <c r="AF14" s="11">
        <v>1</v>
      </c>
      <c r="AG14" s="11">
        <v>0</v>
      </c>
      <c r="AH14" s="11">
        <v>1</v>
      </c>
      <c r="AI14" s="11">
        <v>1</v>
      </c>
      <c r="AJ14" s="11">
        <v>1</v>
      </c>
      <c r="AK14" s="11">
        <v>1</v>
      </c>
      <c r="AL14" s="11">
        <v>1</v>
      </c>
      <c r="AM14" s="11">
        <v>0</v>
      </c>
      <c r="AN14" s="11">
        <v>0</v>
      </c>
      <c r="AO14" s="11">
        <v>0</v>
      </c>
      <c r="AP14" s="11">
        <v>0</v>
      </c>
      <c r="AQ14" s="11">
        <v>1</v>
      </c>
      <c r="AR14" s="11">
        <v>1</v>
      </c>
      <c r="AS14" s="11">
        <v>1</v>
      </c>
      <c r="AT14" s="11">
        <v>1</v>
      </c>
      <c r="AU14" s="11">
        <v>1</v>
      </c>
      <c r="AV14" s="11">
        <v>1</v>
      </c>
      <c r="AW14" s="11">
        <v>1</v>
      </c>
      <c r="AX14" s="11">
        <v>1</v>
      </c>
      <c r="AY14" s="11">
        <v>1</v>
      </c>
      <c r="AZ14" s="11">
        <v>1</v>
      </c>
      <c r="BA14" s="11">
        <v>1</v>
      </c>
      <c r="BB14" s="11">
        <v>0</v>
      </c>
      <c r="BC14" s="11">
        <v>1</v>
      </c>
      <c r="BD14" s="11">
        <v>0</v>
      </c>
      <c r="BE14" s="11">
        <v>1</v>
      </c>
      <c r="BF14" s="11">
        <v>1</v>
      </c>
      <c r="BG14" s="5">
        <f t="shared" si="8"/>
        <v>176.3687605530921</v>
      </c>
      <c r="BH14" s="3">
        <f t="shared" si="9"/>
        <v>45.040793546735898</v>
      </c>
      <c r="BI14" s="3">
        <f t="shared" si="10"/>
        <v>9.9592064532641018</v>
      </c>
      <c r="BJ14" s="3">
        <f t="shared" si="11"/>
        <v>1.5090712073317023</v>
      </c>
      <c r="BK14" s="3">
        <f t="shared" si="3"/>
        <v>-0.45609683602320777</v>
      </c>
      <c r="BL14" s="3">
        <f t="shared" si="4"/>
        <v>0.94333424358242735</v>
      </c>
      <c r="BM14" s="3">
        <f t="shared" si="5"/>
        <v>2.0832149969367633</v>
      </c>
      <c r="BN14" s="3">
        <f t="shared" si="6"/>
        <v>70.832149969367634</v>
      </c>
      <c r="BO14" s="2" t="str">
        <f t="shared" si="7"/>
        <v>A+</v>
      </c>
    </row>
    <row r="15" spans="1:67" x14ac:dyDescent="0.35">
      <c r="A15" s="15">
        <v>14</v>
      </c>
      <c r="B15" s="10" t="s">
        <v>64</v>
      </c>
      <c r="C15" s="11">
        <v>48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0</v>
      </c>
      <c r="AB15" s="11">
        <v>0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  <c r="AM15" s="11">
        <v>1</v>
      </c>
      <c r="AN15" s="11">
        <v>1</v>
      </c>
      <c r="AO15" s="11">
        <v>1</v>
      </c>
      <c r="AP15" s="11">
        <v>1</v>
      </c>
      <c r="AQ15" s="11">
        <v>1</v>
      </c>
      <c r="AR15" s="11">
        <v>1</v>
      </c>
      <c r="AS15" s="11">
        <v>0</v>
      </c>
      <c r="AT15" s="11">
        <v>1</v>
      </c>
      <c r="AU15" s="11">
        <v>1</v>
      </c>
      <c r="AV15" s="11">
        <v>1</v>
      </c>
      <c r="AW15" s="11">
        <v>0</v>
      </c>
      <c r="AX15" s="11">
        <v>0</v>
      </c>
      <c r="AY15" s="11">
        <v>1</v>
      </c>
      <c r="AZ15" s="11">
        <v>1</v>
      </c>
      <c r="BA15" s="11">
        <v>1</v>
      </c>
      <c r="BB15" s="11">
        <v>1</v>
      </c>
      <c r="BC15" s="11">
        <v>1</v>
      </c>
      <c r="BD15" s="11">
        <v>1</v>
      </c>
      <c r="BE15" s="11">
        <v>0</v>
      </c>
      <c r="BF15" s="11">
        <v>0</v>
      </c>
      <c r="BG15" s="5">
        <f t="shared" si="8"/>
        <v>176.25693505290349</v>
      </c>
      <c r="BH15" s="3">
        <f t="shared" si="9"/>
        <v>45.012235715680887</v>
      </c>
      <c r="BI15" s="3">
        <f t="shared" si="10"/>
        <v>9.9877642843191126</v>
      </c>
      <c r="BJ15" s="3">
        <f t="shared" si="11"/>
        <v>1.5055735853527288</v>
      </c>
      <c r="BK15" s="3">
        <f t="shared" si="3"/>
        <v>-0.45609683602320777</v>
      </c>
      <c r="BL15" s="3">
        <f t="shared" si="4"/>
        <v>0.94333424358242735</v>
      </c>
      <c r="BM15" s="3">
        <f t="shared" si="5"/>
        <v>2.0795072740349729</v>
      </c>
      <c r="BN15" s="3">
        <f t="shared" si="6"/>
        <v>70.795072740349724</v>
      </c>
      <c r="BO15" s="2" t="str">
        <f t="shared" si="7"/>
        <v>A+</v>
      </c>
    </row>
    <row r="16" spans="1:67" x14ac:dyDescent="0.35">
      <c r="A16" s="15">
        <v>15</v>
      </c>
      <c r="B16" s="10" t="s">
        <v>65</v>
      </c>
      <c r="C16" s="11">
        <v>48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1">
        <v>1</v>
      </c>
      <c r="S16" s="11">
        <v>1</v>
      </c>
      <c r="T16" s="11">
        <v>1</v>
      </c>
      <c r="U16" s="11">
        <v>1</v>
      </c>
      <c r="V16" s="11">
        <v>1</v>
      </c>
      <c r="W16" s="11">
        <v>1</v>
      </c>
      <c r="X16" s="11">
        <v>1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1">
        <v>1</v>
      </c>
      <c r="AG16" s="11">
        <v>1</v>
      </c>
      <c r="AH16" s="11">
        <v>1</v>
      </c>
      <c r="AI16" s="11">
        <v>1</v>
      </c>
      <c r="AJ16" s="11">
        <v>1</v>
      </c>
      <c r="AK16" s="11">
        <v>1</v>
      </c>
      <c r="AL16" s="11">
        <v>1</v>
      </c>
      <c r="AM16" s="11">
        <v>1</v>
      </c>
      <c r="AN16" s="11">
        <v>0</v>
      </c>
      <c r="AO16" s="11">
        <v>1</v>
      </c>
      <c r="AP16" s="11">
        <v>1</v>
      </c>
      <c r="AQ16" s="11">
        <v>1</v>
      </c>
      <c r="AR16" s="11">
        <v>1</v>
      </c>
      <c r="AS16" s="11">
        <v>0</v>
      </c>
      <c r="AT16" s="11">
        <v>1</v>
      </c>
      <c r="AU16" s="11">
        <v>1</v>
      </c>
      <c r="AV16" s="11">
        <v>1</v>
      </c>
      <c r="AW16" s="11">
        <v>0</v>
      </c>
      <c r="AX16" s="11">
        <v>0</v>
      </c>
      <c r="AY16" s="11">
        <v>1</v>
      </c>
      <c r="AZ16" s="11">
        <v>0</v>
      </c>
      <c r="BA16" s="11">
        <v>1</v>
      </c>
      <c r="BB16" s="11">
        <v>1</v>
      </c>
      <c r="BC16" s="11">
        <v>1</v>
      </c>
      <c r="BD16" s="11">
        <v>1</v>
      </c>
      <c r="BE16" s="11">
        <v>0</v>
      </c>
      <c r="BF16" s="11">
        <v>0</v>
      </c>
      <c r="BG16" s="5">
        <f t="shared" si="8"/>
        <v>174.81439426313995</v>
      </c>
      <c r="BH16" s="3">
        <f>BG16*55/$BG$2</f>
        <v>44.643841779641825</v>
      </c>
      <c r="BI16" s="3">
        <f t="shared" si="10"/>
        <v>10.356158220358175</v>
      </c>
      <c r="BJ16" s="3">
        <f t="shared" si="11"/>
        <v>1.4611350358350725</v>
      </c>
      <c r="BK16" s="3">
        <f t="shared" si="3"/>
        <v>-0.45609683602320777</v>
      </c>
      <c r="BL16" s="3">
        <f t="shared" si="4"/>
        <v>0.94333424358242735</v>
      </c>
      <c r="BM16" s="3">
        <f t="shared" si="5"/>
        <v>2.0323993164685272</v>
      </c>
      <c r="BN16" s="3">
        <f t="shared" si="6"/>
        <v>70.323993164685277</v>
      </c>
      <c r="BO16" s="2" t="str">
        <f t="shared" si="7"/>
        <v>A+</v>
      </c>
    </row>
    <row r="17" spans="1:67" x14ac:dyDescent="0.35">
      <c r="A17" s="1">
        <v>16</v>
      </c>
      <c r="B17" s="10" t="s">
        <v>66</v>
      </c>
      <c r="C17" s="11">
        <v>46</v>
      </c>
      <c r="D17" s="11">
        <v>1</v>
      </c>
      <c r="E17" s="11">
        <v>0</v>
      </c>
      <c r="F17" s="11">
        <v>1</v>
      </c>
      <c r="G17" s="11">
        <v>1</v>
      </c>
      <c r="H17" s="11">
        <v>1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0</v>
      </c>
      <c r="O17" s="11">
        <v>1</v>
      </c>
      <c r="P17" s="11">
        <v>1</v>
      </c>
      <c r="Q17" s="11">
        <v>1</v>
      </c>
      <c r="R17" s="11">
        <v>1</v>
      </c>
      <c r="S17" s="11">
        <v>1</v>
      </c>
      <c r="T17" s="11">
        <v>1</v>
      </c>
      <c r="U17" s="11">
        <v>1</v>
      </c>
      <c r="V17" s="11">
        <v>1</v>
      </c>
      <c r="W17" s="11">
        <v>0</v>
      </c>
      <c r="X17" s="11">
        <v>0</v>
      </c>
      <c r="Y17" s="11">
        <v>1</v>
      </c>
      <c r="Z17" s="11">
        <v>1</v>
      </c>
      <c r="AA17" s="11">
        <v>1</v>
      </c>
      <c r="AB17" s="11">
        <v>0</v>
      </c>
      <c r="AC17" s="11">
        <v>1</v>
      </c>
      <c r="AD17" s="11">
        <v>1</v>
      </c>
      <c r="AE17" s="11">
        <v>1</v>
      </c>
      <c r="AF17" s="11">
        <v>1</v>
      </c>
      <c r="AG17" s="11">
        <v>1</v>
      </c>
      <c r="AH17" s="11">
        <v>1</v>
      </c>
      <c r="AI17" s="11">
        <v>1</v>
      </c>
      <c r="AJ17" s="11">
        <v>1</v>
      </c>
      <c r="AK17" s="11">
        <v>1</v>
      </c>
      <c r="AL17" s="11">
        <v>1</v>
      </c>
      <c r="AM17" s="11">
        <v>1</v>
      </c>
      <c r="AN17" s="11">
        <v>1</v>
      </c>
      <c r="AO17" s="11">
        <v>0</v>
      </c>
      <c r="AP17" s="11">
        <v>0</v>
      </c>
      <c r="AQ17" s="11">
        <v>1</v>
      </c>
      <c r="AR17" s="11">
        <v>1</v>
      </c>
      <c r="AS17" s="11">
        <v>1</v>
      </c>
      <c r="AT17" s="11">
        <v>1</v>
      </c>
      <c r="AU17" s="11">
        <v>1</v>
      </c>
      <c r="AV17" s="11">
        <v>1</v>
      </c>
      <c r="AW17" s="11">
        <v>1</v>
      </c>
      <c r="AX17" s="11">
        <v>1</v>
      </c>
      <c r="AY17" s="11">
        <v>1</v>
      </c>
      <c r="AZ17" s="11">
        <v>1</v>
      </c>
      <c r="BA17" s="11">
        <v>1</v>
      </c>
      <c r="BB17" s="11">
        <v>1</v>
      </c>
      <c r="BC17" s="11">
        <v>1</v>
      </c>
      <c r="BD17" s="11">
        <v>1</v>
      </c>
      <c r="BE17" s="11">
        <v>0</v>
      </c>
      <c r="BF17" s="11">
        <v>0</v>
      </c>
      <c r="BG17" s="5">
        <f t="shared" si="8"/>
        <v>172.7587921750671</v>
      </c>
      <c r="BH17" s="3">
        <f t="shared" si="9"/>
        <v>44.11888515482471</v>
      </c>
      <c r="BI17" s="3">
        <f t="shared" si="10"/>
        <v>10.88111484517529</v>
      </c>
      <c r="BJ17" s="3">
        <f t="shared" ref="BJ17:BJ65" si="12">LN(BH17/BI17)</f>
        <v>1.3998592220239201</v>
      </c>
      <c r="BK17" s="3">
        <f t="shared" si="3"/>
        <v>-0.45609683602320777</v>
      </c>
      <c r="BL17" s="3">
        <f t="shared" si="4"/>
        <v>0.94333424358242735</v>
      </c>
      <c r="BM17" s="3">
        <f t="shared" si="5"/>
        <v>1.9674426860609953</v>
      </c>
      <c r="BN17" s="3">
        <f t="shared" si="6"/>
        <v>69.674426860609955</v>
      </c>
      <c r="BO17" s="2" t="str">
        <f t="shared" si="7"/>
        <v>A</v>
      </c>
    </row>
    <row r="18" spans="1:67" x14ac:dyDescent="0.35">
      <c r="A18" s="15">
        <v>17</v>
      </c>
      <c r="B18" s="12">
        <v>3331994</v>
      </c>
      <c r="C18" s="11">
        <v>46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11">
        <v>1</v>
      </c>
      <c r="J18" s="11">
        <v>1</v>
      </c>
      <c r="K18" s="11">
        <v>1</v>
      </c>
      <c r="L18" s="11">
        <v>1</v>
      </c>
      <c r="M18" s="11">
        <v>1</v>
      </c>
      <c r="N18" s="11">
        <v>0</v>
      </c>
      <c r="O18" s="11">
        <v>1</v>
      </c>
      <c r="P18" s="11">
        <v>1</v>
      </c>
      <c r="Q18" s="11">
        <v>1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0</v>
      </c>
      <c r="X18" s="11">
        <v>1</v>
      </c>
      <c r="Y18" s="11">
        <v>0</v>
      </c>
      <c r="Z18" s="11">
        <v>1</v>
      </c>
      <c r="AA18" s="11">
        <v>1</v>
      </c>
      <c r="AB18" s="11">
        <v>0</v>
      </c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  <c r="AL18" s="11">
        <v>1</v>
      </c>
      <c r="AM18" s="11">
        <v>1</v>
      </c>
      <c r="AN18" s="11">
        <v>0</v>
      </c>
      <c r="AO18" s="11">
        <v>1</v>
      </c>
      <c r="AP18" s="11">
        <v>1</v>
      </c>
      <c r="AQ18" s="11">
        <v>1</v>
      </c>
      <c r="AR18" s="11">
        <v>0</v>
      </c>
      <c r="AS18" s="11">
        <v>1</v>
      </c>
      <c r="AT18" s="11">
        <v>1</v>
      </c>
      <c r="AU18" s="11">
        <v>1</v>
      </c>
      <c r="AV18" s="11">
        <v>1</v>
      </c>
      <c r="AW18" s="11">
        <v>0</v>
      </c>
      <c r="AX18" s="11">
        <v>0</v>
      </c>
      <c r="AY18" s="11">
        <v>1</v>
      </c>
      <c r="AZ18" s="11">
        <v>0</v>
      </c>
      <c r="BA18" s="11">
        <v>1</v>
      </c>
      <c r="BB18" s="11">
        <v>1</v>
      </c>
      <c r="BC18" s="11">
        <v>1</v>
      </c>
      <c r="BD18" s="11">
        <v>1</v>
      </c>
      <c r="BE18" s="11">
        <v>1</v>
      </c>
      <c r="BF18" s="11">
        <v>1</v>
      </c>
      <c r="BG18" s="5">
        <f t="shared" si="8"/>
        <v>172.71508447190038</v>
      </c>
      <c r="BH18" s="3">
        <f t="shared" si="9"/>
        <v>44.107723146152885</v>
      </c>
      <c r="BI18" s="3">
        <f t="shared" si="10"/>
        <v>10.892276853847115</v>
      </c>
      <c r="BJ18" s="3">
        <f t="shared" si="12"/>
        <v>1.3985809025708809</v>
      </c>
      <c r="BK18" s="3">
        <f t="shared" si="3"/>
        <v>-0.45609683602320777</v>
      </c>
      <c r="BL18" s="3">
        <f t="shared" si="4"/>
        <v>0.94333424358242735</v>
      </c>
      <c r="BM18" s="3">
        <f t="shared" si="5"/>
        <v>1.9660875784077581</v>
      </c>
      <c r="BN18" s="3">
        <f t="shared" si="6"/>
        <v>69.660875784077575</v>
      </c>
      <c r="BO18" s="2" t="str">
        <f t="shared" si="7"/>
        <v>A</v>
      </c>
    </row>
    <row r="19" spans="1:67" x14ac:dyDescent="0.35">
      <c r="A19" s="15">
        <v>18</v>
      </c>
      <c r="B19" s="12">
        <v>1111111</v>
      </c>
      <c r="C19" s="11">
        <v>46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1</v>
      </c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  <c r="P19" s="11">
        <v>1</v>
      </c>
      <c r="Q19" s="11">
        <v>1</v>
      </c>
      <c r="R19" s="11">
        <v>1</v>
      </c>
      <c r="S19" s="11">
        <v>1</v>
      </c>
      <c r="T19" s="11">
        <v>1</v>
      </c>
      <c r="U19" s="11">
        <v>1</v>
      </c>
      <c r="V19" s="11">
        <v>0</v>
      </c>
      <c r="W19" s="11">
        <v>1</v>
      </c>
      <c r="X19" s="11">
        <v>1</v>
      </c>
      <c r="Y19" s="11"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0</v>
      </c>
      <c r="AE19" s="11">
        <v>1</v>
      </c>
      <c r="AF19" s="11">
        <v>1</v>
      </c>
      <c r="AG19" s="11">
        <v>1</v>
      </c>
      <c r="AH19" s="11">
        <v>0</v>
      </c>
      <c r="AI19" s="11">
        <v>1</v>
      </c>
      <c r="AJ19" s="11">
        <v>1</v>
      </c>
      <c r="AK19" s="11">
        <v>1</v>
      </c>
      <c r="AL19" s="11">
        <v>1</v>
      </c>
      <c r="AM19" s="11">
        <v>1</v>
      </c>
      <c r="AN19" s="11">
        <v>1</v>
      </c>
      <c r="AO19" s="11">
        <v>1</v>
      </c>
      <c r="AP19" s="11">
        <v>1</v>
      </c>
      <c r="AQ19" s="11">
        <v>0</v>
      </c>
      <c r="AR19" s="11">
        <v>1</v>
      </c>
      <c r="AS19" s="11">
        <v>0</v>
      </c>
      <c r="AT19" s="11">
        <v>0</v>
      </c>
      <c r="AU19" s="11">
        <v>1</v>
      </c>
      <c r="AV19" s="11">
        <v>1</v>
      </c>
      <c r="AW19" s="11">
        <v>0</v>
      </c>
      <c r="AX19" s="11">
        <v>0</v>
      </c>
      <c r="AY19" s="11">
        <v>1</v>
      </c>
      <c r="AZ19" s="11">
        <v>1</v>
      </c>
      <c r="BA19" s="11">
        <v>1</v>
      </c>
      <c r="BB19" s="11">
        <v>1</v>
      </c>
      <c r="BC19" s="11">
        <v>1</v>
      </c>
      <c r="BD19" s="11">
        <v>1</v>
      </c>
      <c r="BE19" s="11">
        <v>0</v>
      </c>
      <c r="BF19" s="11">
        <v>1</v>
      </c>
      <c r="BG19" s="5">
        <f t="shared" si="8"/>
        <v>171.75013187497709</v>
      </c>
      <c r="BH19" s="3">
        <f t="shared" si="9"/>
        <v>43.861294977331426</v>
      </c>
      <c r="BI19" s="3">
        <f t="shared" si="10"/>
        <v>11.138705022668574</v>
      </c>
      <c r="BJ19" s="3">
        <f t="shared" si="12"/>
        <v>1.3706062857797086</v>
      </c>
      <c r="BK19" s="3">
        <f t="shared" si="3"/>
        <v>-0.45609683602320777</v>
      </c>
      <c r="BL19" s="3">
        <f t="shared" si="4"/>
        <v>0.94333424358242735</v>
      </c>
      <c r="BM19" s="3">
        <f t="shared" si="5"/>
        <v>1.9364325362193866</v>
      </c>
      <c r="BN19" s="3">
        <f t="shared" si="6"/>
        <v>69.364325362193867</v>
      </c>
      <c r="BO19" s="2" t="str">
        <f t="shared" si="7"/>
        <v>A</v>
      </c>
    </row>
    <row r="20" spans="1:67" x14ac:dyDescent="0.35">
      <c r="A20" s="1">
        <v>19</v>
      </c>
      <c r="B20" s="10" t="s">
        <v>67</v>
      </c>
      <c r="C20" s="11">
        <v>46</v>
      </c>
      <c r="D20" s="11">
        <v>1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>
        <v>1</v>
      </c>
      <c r="K20" s="11">
        <v>1</v>
      </c>
      <c r="L20" s="11">
        <v>1</v>
      </c>
      <c r="M20" s="11">
        <v>1</v>
      </c>
      <c r="N20" s="11">
        <v>1</v>
      </c>
      <c r="O20" s="11">
        <v>1</v>
      </c>
      <c r="P20" s="11">
        <v>0</v>
      </c>
      <c r="Q20" s="11">
        <v>1</v>
      </c>
      <c r="R20" s="11">
        <v>1</v>
      </c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11">
        <v>0</v>
      </c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0</v>
      </c>
      <c r="AJ20" s="11">
        <v>1</v>
      </c>
      <c r="AK20" s="11">
        <v>1</v>
      </c>
      <c r="AL20" s="11">
        <v>1</v>
      </c>
      <c r="AM20" s="11">
        <v>1</v>
      </c>
      <c r="AN20" s="11">
        <v>1</v>
      </c>
      <c r="AO20" s="11">
        <v>1</v>
      </c>
      <c r="AP20" s="11">
        <v>1</v>
      </c>
      <c r="AQ20" s="11">
        <v>1</v>
      </c>
      <c r="AR20" s="11">
        <v>1</v>
      </c>
      <c r="AS20" s="11">
        <v>1</v>
      </c>
      <c r="AT20" s="11">
        <v>0</v>
      </c>
      <c r="AU20" s="11">
        <v>0</v>
      </c>
      <c r="AV20" s="11">
        <v>0</v>
      </c>
      <c r="AW20" s="11">
        <v>1</v>
      </c>
      <c r="AX20" s="11">
        <v>0</v>
      </c>
      <c r="AY20" s="11">
        <v>1</v>
      </c>
      <c r="AZ20" s="11">
        <v>1</v>
      </c>
      <c r="BA20" s="11">
        <v>0</v>
      </c>
      <c r="BB20" s="11">
        <v>0</v>
      </c>
      <c r="BC20" s="11">
        <v>1</v>
      </c>
      <c r="BD20" s="11">
        <v>1</v>
      </c>
      <c r="BE20" s="11">
        <v>1</v>
      </c>
      <c r="BF20" s="11">
        <v>1</v>
      </c>
      <c r="BG20" s="5">
        <f t="shared" si="8"/>
        <v>171.64167026710885</v>
      </c>
      <c r="BH20" s="3">
        <f t="shared" si="9"/>
        <v>43.833596212128221</v>
      </c>
      <c r="BI20" s="3">
        <f t="shared" si="10"/>
        <v>11.166403787871779</v>
      </c>
      <c r="BJ20" s="3">
        <f t="shared" si="12"/>
        <v>1.367490951665399</v>
      </c>
      <c r="BK20" s="3">
        <f t="shared" si="3"/>
        <v>-0.45609683602320777</v>
      </c>
      <c r="BL20" s="3">
        <f t="shared" si="4"/>
        <v>0.94333424358242735</v>
      </c>
      <c r="BM20" s="3">
        <f t="shared" si="5"/>
        <v>1.9331300650799115</v>
      </c>
      <c r="BN20" s="3">
        <f t="shared" si="6"/>
        <v>69.331300650799108</v>
      </c>
      <c r="BO20" s="2" t="str">
        <f t="shared" si="7"/>
        <v>A</v>
      </c>
    </row>
    <row r="21" spans="1:67" x14ac:dyDescent="0.35">
      <c r="A21" s="15">
        <v>20</v>
      </c>
      <c r="B21" s="12">
        <v>1207005</v>
      </c>
      <c r="C21" s="11">
        <v>46</v>
      </c>
      <c r="D21" s="11">
        <v>1</v>
      </c>
      <c r="E21" s="11">
        <v>0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1">
        <v>1</v>
      </c>
      <c r="P21" s="11">
        <v>1</v>
      </c>
      <c r="Q21" s="11">
        <v>1</v>
      </c>
      <c r="R21" s="11">
        <v>0</v>
      </c>
      <c r="S21" s="11">
        <v>1</v>
      </c>
      <c r="T21" s="11">
        <v>1</v>
      </c>
      <c r="U21" s="11">
        <v>1</v>
      </c>
      <c r="V21" s="11">
        <v>1</v>
      </c>
      <c r="W21" s="11">
        <v>1</v>
      </c>
      <c r="X21" s="11">
        <v>1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1">
        <v>0</v>
      </c>
      <c r="AE21" s="11">
        <v>1</v>
      </c>
      <c r="AF21" s="11">
        <v>1</v>
      </c>
      <c r="AG21" s="11">
        <v>1</v>
      </c>
      <c r="AH21" s="11">
        <v>1</v>
      </c>
      <c r="AI21" s="11">
        <v>0</v>
      </c>
      <c r="AJ21" s="11">
        <v>1</v>
      </c>
      <c r="AK21" s="11">
        <v>1</v>
      </c>
      <c r="AL21" s="11">
        <v>1</v>
      </c>
      <c r="AM21" s="11">
        <v>1</v>
      </c>
      <c r="AN21" s="11">
        <v>0</v>
      </c>
      <c r="AO21" s="11">
        <v>0</v>
      </c>
      <c r="AP21" s="11">
        <v>0</v>
      </c>
      <c r="AQ21" s="11">
        <v>1</v>
      </c>
      <c r="AR21" s="11">
        <v>1</v>
      </c>
      <c r="AS21" s="11">
        <v>1</v>
      </c>
      <c r="AT21" s="11">
        <v>1</v>
      </c>
      <c r="AU21" s="11">
        <v>1</v>
      </c>
      <c r="AV21" s="11">
        <v>1</v>
      </c>
      <c r="AW21" s="11">
        <v>1</v>
      </c>
      <c r="AX21" s="11">
        <v>1</v>
      </c>
      <c r="AY21" s="11">
        <v>1</v>
      </c>
      <c r="AZ21" s="11">
        <v>1</v>
      </c>
      <c r="BA21" s="11">
        <v>1</v>
      </c>
      <c r="BB21" s="11">
        <v>1</v>
      </c>
      <c r="BC21" s="11">
        <v>1</v>
      </c>
      <c r="BD21" s="11">
        <v>1</v>
      </c>
      <c r="BE21" s="11">
        <v>0</v>
      </c>
      <c r="BF21" s="11">
        <v>0</v>
      </c>
      <c r="BG21" s="5">
        <f t="shared" si="8"/>
        <v>170.76893198968304</v>
      </c>
      <c r="BH21" s="3">
        <f t="shared" si="9"/>
        <v>43.610717600005543</v>
      </c>
      <c r="BI21" s="3">
        <f t="shared" si="10"/>
        <v>11.389282399994457</v>
      </c>
      <c r="BJ21" s="3">
        <f t="shared" si="12"/>
        <v>1.342630163820983</v>
      </c>
      <c r="BK21" s="3">
        <f t="shared" si="3"/>
        <v>-0.45609683602320777</v>
      </c>
      <c r="BL21" s="3">
        <f t="shared" si="4"/>
        <v>0.94333424358242735</v>
      </c>
      <c r="BM21" s="3">
        <f t="shared" si="5"/>
        <v>1.9067758984485761</v>
      </c>
      <c r="BN21" s="3">
        <f t="shared" si="6"/>
        <v>69.067758984485764</v>
      </c>
      <c r="BO21" s="2" t="str">
        <f t="shared" si="7"/>
        <v>A</v>
      </c>
    </row>
    <row r="22" spans="1:67" x14ac:dyDescent="0.35">
      <c r="A22" s="15">
        <v>21</v>
      </c>
      <c r="B22" s="10" t="s">
        <v>68</v>
      </c>
      <c r="C22" s="11">
        <v>47</v>
      </c>
      <c r="D22" s="11">
        <v>1</v>
      </c>
      <c r="E22" s="11">
        <v>1</v>
      </c>
      <c r="F22" s="11">
        <v>1</v>
      </c>
      <c r="G22" s="11">
        <v>1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>
        <v>1</v>
      </c>
      <c r="N22" s="11">
        <v>1</v>
      </c>
      <c r="O22" s="11">
        <v>1</v>
      </c>
      <c r="P22" s="11">
        <v>1</v>
      </c>
      <c r="Q22" s="11">
        <v>1</v>
      </c>
      <c r="R22" s="11">
        <v>1</v>
      </c>
      <c r="S22" s="11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0</v>
      </c>
      <c r="AJ22" s="11">
        <v>1</v>
      </c>
      <c r="AK22" s="11">
        <v>1</v>
      </c>
      <c r="AL22" s="11">
        <v>1</v>
      </c>
      <c r="AM22" s="11">
        <v>1</v>
      </c>
      <c r="AN22" s="11">
        <v>0</v>
      </c>
      <c r="AO22" s="11">
        <v>0</v>
      </c>
      <c r="AP22" s="11">
        <v>0</v>
      </c>
      <c r="AQ22" s="11">
        <v>1</v>
      </c>
      <c r="AR22" s="11">
        <v>1</v>
      </c>
      <c r="AS22" s="11">
        <v>0</v>
      </c>
      <c r="AT22" s="11">
        <v>1</v>
      </c>
      <c r="AU22" s="11">
        <v>1</v>
      </c>
      <c r="AV22" s="11">
        <v>1</v>
      </c>
      <c r="AW22" s="11">
        <v>1</v>
      </c>
      <c r="AX22" s="11">
        <v>1</v>
      </c>
      <c r="AY22" s="11">
        <v>0</v>
      </c>
      <c r="AZ22" s="11">
        <v>1</v>
      </c>
      <c r="BA22" s="11">
        <v>1</v>
      </c>
      <c r="BB22" s="11">
        <v>1</v>
      </c>
      <c r="BC22" s="11">
        <v>1</v>
      </c>
      <c r="BD22" s="11">
        <v>1</v>
      </c>
      <c r="BE22" s="11">
        <v>0</v>
      </c>
      <c r="BF22" s="11">
        <v>0</v>
      </c>
      <c r="BG22" s="5">
        <f t="shared" si="8"/>
        <v>170.50529816725034</v>
      </c>
      <c r="BH22" s="3">
        <f t="shared" si="9"/>
        <v>43.543391183859683</v>
      </c>
      <c r="BI22" s="3">
        <f t="shared" si="10"/>
        <v>11.456608816140317</v>
      </c>
      <c r="BJ22" s="3">
        <f t="shared" si="12"/>
        <v>1.3351911867299522</v>
      </c>
      <c r="BK22" s="3">
        <f t="shared" si="3"/>
        <v>-0.45609683602320777</v>
      </c>
      <c r="BL22" s="3">
        <f t="shared" si="4"/>
        <v>0.94333424358242735</v>
      </c>
      <c r="BM22" s="3">
        <f t="shared" si="5"/>
        <v>1.8988900646185856</v>
      </c>
      <c r="BN22" s="3">
        <f t="shared" si="6"/>
        <v>68.988900646185854</v>
      </c>
      <c r="BO22" s="2" t="str">
        <f t="shared" si="7"/>
        <v>A</v>
      </c>
    </row>
    <row r="23" spans="1:67" x14ac:dyDescent="0.35">
      <c r="A23" s="1">
        <v>22</v>
      </c>
      <c r="B23" s="12">
        <v>2303004</v>
      </c>
      <c r="C23" s="11">
        <v>46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>
        <v>1</v>
      </c>
      <c r="O23" s="11">
        <v>0</v>
      </c>
      <c r="P23" s="11">
        <v>1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  <c r="X23" s="11">
        <v>0</v>
      </c>
      <c r="Y23" s="11">
        <v>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0</v>
      </c>
      <c r="AJ23" s="11">
        <v>1</v>
      </c>
      <c r="AK23" s="11">
        <v>1</v>
      </c>
      <c r="AL23" s="11">
        <v>1</v>
      </c>
      <c r="AM23" s="11">
        <v>0</v>
      </c>
      <c r="AN23" s="11">
        <v>0</v>
      </c>
      <c r="AO23" s="11">
        <v>0</v>
      </c>
      <c r="AP23" s="11">
        <v>0</v>
      </c>
      <c r="AQ23" s="11">
        <v>1</v>
      </c>
      <c r="AR23" s="11">
        <v>1</v>
      </c>
      <c r="AS23" s="11">
        <v>1</v>
      </c>
      <c r="AT23" s="11">
        <v>1</v>
      </c>
      <c r="AU23" s="11">
        <v>1</v>
      </c>
      <c r="AV23" s="11">
        <v>1</v>
      </c>
      <c r="AW23" s="11">
        <v>1</v>
      </c>
      <c r="AX23" s="11">
        <v>1</v>
      </c>
      <c r="AY23" s="11">
        <v>1</v>
      </c>
      <c r="AZ23" s="11">
        <v>1</v>
      </c>
      <c r="BA23" s="11">
        <v>1</v>
      </c>
      <c r="BB23" s="11">
        <v>1</v>
      </c>
      <c r="BC23" s="11">
        <v>1</v>
      </c>
      <c r="BD23" s="11">
        <v>1</v>
      </c>
      <c r="BE23" s="11">
        <v>0</v>
      </c>
      <c r="BF23" s="11">
        <v>0</v>
      </c>
      <c r="BG23" s="5">
        <f>D23*$D$477+E23*$E$477+F23*$F$477+G23*$G$477+H23*$H$477+I23*$I$477+J23*$J$477+K23*$K$477+L23*$L$477+M23*$M$477+N23*$N$477+O23*$O$477+P23*$P$477+Q23*$Q$477+R23*$R$477+S23*$S$477+T23*$T$477+U23*$U$477+V23*$V$477+W23*W$477+X23*$X$477+Y23*$Y$477+Z23*$Z$477+AA23*$AA$477+AB23*$AB$477+AC23*$AC$477+AD23*$AD$477+AE23*$AE$477+AF23*$AF$477+AG23*$AG$477+AH23*$AH$477+AI23*$AI$477+AJ23*$AJ$477+AK23*$AK$477+AL23*$AL$477+AM23*$AM$477+AN23*$AN$477+AO23*$AO$477+AP23*$AP$477+AQ23*$AQ$477+AR23*$AR$477+AS23*$AS$477+AT23*$AT$477+AU23*$AU$477+AV23*$AV$477+AW23*$AW$477+AX23*$AX$477+AY23*$AY$477+AZ23*$AZ$477+BA23*$BA$477+BB23*$BB$477+BC23*$BC$477+BD23*$BD$477+BE23*$BE$477+BF23*$BF$477</f>
        <v>170.2781577890288</v>
      </c>
      <c r="BH23" s="3">
        <f t="shared" si="9"/>
        <v>43.485384409590125</v>
      </c>
      <c r="BI23" s="3">
        <f t="shared" si="10"/>
        <v>11.514615590409875</v>
      </c>
      <c r="BJ23" s="3">
        <f t="shared" si="12"/>
        <v>1.3288077417149542</v>
      </c>
      <c r="BK23" s="3">
        <f t="shared" si="3"/>
        <v>-0.45609683602320777</v>
      </c>
      <c r="BL23" s="3">
        <f t="shared" si="4"/>
        <v>0.94333424358242735</v>
      </c>
      <c r="BM23" s="3">
        <f t="shared" si="5"/>
        <v>1.8921231683054018</v>
      </c>
      <c r="BN23" s="3">
        <f t="shared" si="6"/>
        <v>68.921231683054017</v>
      </c>
      <c r="BO23" s="2" t="str">
        <f t="shared" si="7"/>
        <v>A</v>
      </c>
    </row>
    <row r="24" spans="1:67" x14ac:dyDescent="0.35">
      <c r="A24" s="15">
        <v>23</v>
      </c>
      <c r="B24" s="10" t="s">
        <v>69</v>
      </c>
      <c r="C24" s="11">
        <v>46</v>
      </c>
      <c r="D24" s="11">
        <v>1</v>
      </c>
      <c r="E24" s="11">
        <v>0</v>
      </c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11">
        <v>0</v>
      </c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  <c r="AL24" s="11">
        <v>1</v>
      </c>
      <c r="AM24" s="11">
        <v>0</v>
      </c>
      <c r="AN24" s="11">
        <v>0</v>
      </c>
      <c r="AO24" s="11">
        <v>1</v>
      </c>
      <c r="AP24" s="11">
        <v>1</v>
      </c>
      <c r="AQ24" s="11">
        <v>1</v>
      </c>
      <c r="AR24" s="11">
        <v>1</v>
      </c>
      <c r="AS24" s="11">
        <v>1</v>
      </c>
      <c r="AT24" s="11">
        <v>1</v>
      </c>
      <c r="AU24" s="11">
        <v>1</v>
      </c>
      <c r="AV24" s="11">
        <v>1</v>
      </c>
      <c r="AW24" s="11">
        <v>0</v>
      </c>
      <c r="AX24" s="11">
        <v>0</v>
      </c>
      <c r="AY24" s="11">
        <v>0</v>
      </c>
      <c r="AZ24" s="11">
        <v>1</v>
      </c>
      <c r="BA24" s="11">
        <v>1</v>
      </c>
      <c r="BB24" s="11">
        <v>1</v>
      </c>
      <c r="BC24" s="11">
        <v>1</v>
      </c>
      <c r="BD24" s="11">
        <v>1</v>
      </c>
      <c r="BE24" s="11">
        <v>0</v>
      </c>
      <c r="BF24" s="11">
        <v>0</v>
      </c>
      <c r="BG24" s="5">
        <f t="shared" si="8"/>
        <v>167.51860154322964</v>
      </c>
      <c r="BH24" s="3">
        <f t="shared" si="9"/>
        <v>42.780653011819545</v>
      </c>
      <c r="BI24" s="3">
        <f t="shared" si="10"/>
        <v>12.219346988180455</v>
      </c>
      <c r="BJ24" s="3">
        <f t="shared" si="12"/>
        <v>1.2530654535963508</v>
      </c>
      <c r="BK24" s="3">
        <f t="shared" si="3"/>
        <v>-0.45609683602320777</v>
      </c>
      <c r="BL24" s="3">
        <f t="shared" si="4"/>
        <v>0.94333424358242735</v>
      </c>
      <c r="BM24" s="3">
        <f t="shared" si="5"/>
        <v>1.8118310675639266</v>
      </c>
      <c r="BN24" s="3">
        <f t="shared" si="6"/>
        <v>68.118310675639265</v>
      </c>
      <c r="BO24" s="2" t="str">
        <f t="shared" si="7"/>
        <v>A</v>
      </c>
    </row>
    <row r="25" spans="1:67" x14ac:dyDescent="0.35">
      <c r="A25" s="15">
        <v>24</v>
      </c>
      <c r="B25" s="10" t="s">
        <v>70</v>
      </c>
      <c r="C25" s="11">
        <v>45</v>
      </c>
      <c r="D25" s="11">
        <v>1</v>
      </c>
      <c r="E25" s="11">
        <v>0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0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1">
        <v>0</v>
      </c>
      <c r="AE25" s="11">
        <v>1</v>
      </c>
      <c r="AF25" s="11">
        <v>1</v>
      </c>
      <c r="AG25" s="11">
        <v>1</v>
      </c>
      <c r="AH25" s="11">
        <v>1</v>
      </c>
      <c r="AI25" s="11">
        <v>1</v>
      </c>
      <c r="AJ25" s="11">
        <v>1</v>
      </c>
      <c r="AK25" s="11">
        <v>1</v>
      </c>
      <c r="AL25" s="11">
        <v>1</v>
      </c>
      <c r="AM25" s="11">
        <v>1</v>
      </c>
      <c r="AN25" s="11">
        <v>1</v>
      </c>
      <c r="AO25" s="11">
        <v>0</v>
      </c>
      <c r="AP25" s="11">
        <v>0</v>
      </c>
      <c r="AQ25" s="11">
        <v>1</v>
      </c>
      <c r="AR25" s="11">
        <v>1</v>
      </c>
      <c r="AS25" s="11">
        <v>0</v>
      </c>
      <c r="AT25" s="11">
        <v>1</v>
      </c>
      <c r="AU25" s="11">
        <v>1</v>
      </c>
      <c r="AV25" s="11">
        <v>1</v>
      </c>
      <c r="AW25" s="11">
        <v>0</v>
      </c>
      <c r="AX25" s="11">
        <v>0</v>
      </c>
      <c r="AY25" s="11">
        <v>1</v>
      </c>
      <c r="AZ25" s="11">
        <v>0</v>
      </c>
      <c r="BA25" s="11">
        <v>1</v>
      </c>
      <c r="BB25" s="11">
        <v>1</v>
      </c>
      <c r="BC25" s="11">
        <v>1</v>
      </c>
      <c r="BD25" s="11">
        <v>1</v>
      </c>
      <c r="BE25" s="11">
        <v>0</v>
      </c>
      <c r="BF25" s="11">
        <v>1</v>
      </c>
      <c r="BG25" s="5">
        <f t="shared" si="8"/>
        <v>165.50465680976035</v>
      </c>
      <c r="BH25" s="3">
        <f t="shared" si="9"/>
        <v>42.266334780686883</v>
      </c>
      <c r="BI25" s="3">
        <f t="shared" si="10"/>
        <v>12.733665219313117</v>
      </c>
      <c r="BJ25" s="3">
        <f t="shared" si="12"/>
        <v>1.1997416101635237</v>
      </c>
      <c r="BK25" s="3">
        <f t="shared" si="3"/>
        <v>-0.45609683602320777</v>
      </c>
      <c r="BL25" s="3">
        <f t="shared" si="4"/>
        <v>0.94333424358242735</v>
      </c>
      <c r="BM25" s="3">
        <f t="shared" si="5"/>
        <v>1.7553040796001236</v>
      </c>
      <c r="BN25" s="3">
        <f t="shared" si="6"/>
        <v>67.553040796001227</v>
      </c>
      <c r="BO25" s="2" t="str">
        <f t="shared" si="7"/>
        <v>A</v>
      </c>
    </row>
    <row r="26" spans="1:67" x14ac:dyDescent="0.35">
      <c r="A26" s="1">
        <v>25</v>
      </c>
      <c r="B26" s="10" t="s">
        <v>71</v>
      </c>
      <c r="C26" s="11">
        <v>46</v>
      </c>
      <c r="D26" s="11">
        <v>1</v>
      </c>
      <c r="E26" s="11">
        <v>1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11">
        <v>0</v>
      </c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  <c r="AL26" s="11">
        <v>1</v>
      </c>
      <c r="AM26" s="11">
        <v>0</v>
      </c>
      <c r="AN26" s="11">
        <v>0</v>
      </c>
      <c r="AO26" s="11">
        <v>1</v>
      </c>
      <c r="AP26" s="11">
        <v>1</v>
      </c>
      <c r="AQ26" s="11">
        <v>1</v>
      </c>
      <c r="AR26" s="11">
        <v>1</v>
      </c>
      <c r="AS26" s="11">
        <v>1</v>
      </c>
      <c r="AT26" s="11">
        <v>1</v>
      </c>
      <c r="AU26" s="11">
        <v>0</v>
      </c>
      <c r="AV26" s="11">
        <v>0</v>
      </c>
      <c r="AW26" s="11">
        <v>0</v>
      </c>
      <c r="AX26" s="11">
        <v>0</v>
      </c>
      <c r="AY26" s="11">
        <v>1</v>
      </c>
      <c r="AZ26" s="11">
        <v>1</v>
      </c>
      <c r="BA26" s="11">
        <v>1</v>
      </c>
      <c r="BB26" s="11">
        <v>1</v>
      </c>
      <c r="BC26" s="11">
        <v>1</v>
      </c>
      <c r="BD26" s="11">
        <v>1</v>
      </c>
      <c r="BE26" s="11">
        <v>0</v>
      </c>
      <c r="BF26" s="11">
        <v>0</v>
      </c>
      <c r="BG26" s="5">
        <f t="shared" si="8"/>
        <v>164.55386467799374</v>
      </c>
      <c r="BH26" s="3">
        <f t="shared" si="9"/>
        <v>42.023522890539994</v>
      </c>
      <c r="BI26" s="3">
        <f t="shared" si="10"/>
        <v>12.976477109460006</v>
      </c>
      <c r="BJ26" s="3">
        <f t="shared" si="12"/>
        <v>1.1750912650204333</v>
      </c>
      <c r="BK26" s="3">
        <f t="shared" si="3"/>
        <v>-0.45609683602320777</v>
      </c>
      <c r="BL26" s="3">
        <f t="shared" si="4"/>
        <v>0.94333424358242735</v>
      </c>
      <c r="BM26" s="3">
        <f t="shared" si="5"/>
        <v>1.7291729968892091</v>
      </c>
      <c r="BN26" s="3">
        <f t="shared" si="6"/>
        <v>67.291729968892099</v>
      </c>
      <c r="BO26" s="2" t="str">
        <f t="shared" si="7"/>
        <v>A</v>
      </c>
    </row>
    <row r="27" spans="1:67" x14ac:dyDescent="0.35">
      <c r="A27" s="15">
        <v>26</v>
      </c>
      <c r="B27" s="10" t="s">
        <v>72</v>
      </c>
      <c r="C27" s="11">
        <v>45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  <c r="I27" s="11">
        <v>1</v>
      </c>
      <c r="J27" s="11">
        <v>1</v>
      </c>
      <c r="K27" s="11">
        <v>1</v>
      </c>
      <c r="L27" s="11">
        <v>1</v>
      </c>
      <c r="M27" s="11">
        <v>1</v>
      </c>
      <c r="N27" s="11">
        <v>1</v>
      </c>
      <c r="O27" s="11">
        <v>1</v>
      </c>
      <c r="P27" s="11">
        <v>1</v>
      </c>
      <c r="Q27" s="11">
        <v>1</v>
      </c>
      <c r="R27" s="11">
        <v>1</v>
      </c>
      <c r="S27" s="11">
        <v>1</v>
      </c>
      <c r="T27" s="11">
        <v>1</v>
      </c>
      <c r="U27" s="11">
        <v>1</v>
      </c>
      <c r="V27" s="11">
        <v>1</v>
      </c>
      <c r="W27" s="11">
        <v>1</v>
      </c>
      <c r="X27" s="11">
        <v>1</v>
      </c>
      <c r="Y27" s="11">
        <v>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1">
        <v>1</v>
      </c>
      <c r="AG27" s="11">
        <v>1</v>
      </c>
      <c r="AH27" s="11">
        <v>1</v>
      </c>
      <c r="AI27" s="11">
        <v>1</v>
      </c>
      <c r="AJ27" s="11">
        <v>1</v>
      </c>
      <c r="AK27" s="11">
        <v>1</v>
      </c>
      <c r="AL27" s="11">
        <v>1</v>
      </c>
      <c r="AM27" s="11">
        <v>0</v>
      </c>
      <c r="AN27" s="11">
        <v>0</v>
      </c>
      <c r="AO27" s="11">
        <v>1</v>
      </c>
      <c r="AP27" s="11">
        <v>1</v>
      </c>
      <c r="AQ27" s="11">
        <v>0</v>
      </c>
      <c r="AR27" s="11">
        <v>0</v>
      </c>
      <c r="AS27" s="11">
        <v>1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1</v>
      </c>
      <c r="AZ27" s="11">
        <v>1</v>
      </c>
      <c r="BA27" s="11">
        <v>1</v>
      </c>
      <c r="BB27" s="11">
        <v>1</v>
      </c>
      <c r="BC27" s="11">
        <v>1</v>
      </c>
      <c r="BD27" s="11">
        <v>1</v>
      </c>
      <c r="BE27" s="11">
        <v>1</v>
      </c>
      <c r="BF27" s="11">
        <v>0</v>
      </c>
      <c r="BG27" s="5">
        <f t="shared" si="8"/>
        <v>162.84610375376937</v>
      </c>
      <c r="BH27" s="3">
        <f t="shared" si="9"/>
        <v>41.587397428332537</v>
      </c>
      <c r="BI27" s="3">
        <f t="shared" si="10"/>
        <v>13.412602571667463</v>
      </c>
      <c r="BJ27" s="3">
        <f t="shared" si="12"/>
        <v>1.1316024195395704</v>
      </c>
      <c r="BK27" s="3">
        <f t="shared" si="3"/>
        <v>-0.45609683602320777</v>
      </c>
      <c r="BL27" s="3">
        <f t="shared" si="4"/>
        <v>0.94333424358242735</v>
      </c>
      <c r="BM27" s="3">
        <f t="shared" si="5"/>
        <v>1.6830717917472133</v>
      </c>
      <c r="BN27" s="3">
        <f t="shared" si="6"/>
        <v>66.830717917472128</v>
      </c>
      <c r="BO27" s="2" t="str">
        <f t="shared" si="7"/>
        <v>A</v>
      </c>
    </row>
    <row r="28" spans="1:67" x14ac:dyDescent="0.35">
      <c r="A28" s="15">
        <v>27</v>
      </c>
      <c r="B28" s="10" t="s">
        <v>73</v>
      </c>
      <c r="C28" s="11">
        <v>45</v>
      </c>
      <c r="D28" s="11">
        <v>1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  <c r="J28" s="11">
        <v>1</v>
      </c>
      <c r="K28" s="11">
        <v>1</v>
      </c>
      <c r="L28" s="11">
        <v>1</v>
      </c>
      <c r="M28" s="11">
        <v>1</v>
      </c>
      <c r="N28" s="11">
        <v>1</v>
      </c>
      <c r="O28" s="11">
        <v>1</v>
      </c>
      <c r="P28" s="11">
        <v>1</v>
      </c>
      <c r="Q28" s="11">
        <v>1</v>
      </c>
      <c r="R28" s="11">
        <v>1</v>
      </c>
      <c r="S28" s="11">
        <v>1</v>
      </c>
      <c r="T28" s="11">
        <v>1</v>
      </c>
      <c r="U28" s="11">
        <v>1</v>
      </c>
      <c r="V28" s="11">
        <v>1</v>
      </c>
      <c r="W28" s="11">
        <v>1</v>
      </c>
      <c r="X28" s="11">
        <v>1</v>
      </c>
      <c r="Y28" s="11">
        <v>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1">
        <v>1</v>
      </c>
      <c r="AG28" s="11">
        <v>0</v>
      </c>
      <c r="AH28" s="11">
        <v>1</v>
      </c>
      <c r="AI28" s="11">
        <v>0</v>
      </c>
      <c r="AJ28" s="11">
        <v>1</v>
      </c>
      <c r="AK28" s="11">
        <v>1</v>
      </c>
      <c r="AL28" s="11">
        <v>1</v>
      </c>
      <c r="AM28" s="11">
        <v>1</v>
      </c>
      <c r="AN28" s="11">
        <v>0</v>
      </c>
      <c r="AO28" s="11">
        <v>0</v>
      </c>
      <c r="AP28" s="11">
        <v>0</v>
      </c>
      <c r="AQ28" s="11">
        <v>1</v>
      </c>
      <c r="AR28" s="11">
        <v>1</v>
      </c>
      <c r="AS28" s="11">
        <v>1</v>
      </c>
      <c r="AT28" s="11">
        <v>0</v>
      </c>
      <c r="AU28" s="11">
        <v>1</v>
      </c>
      <c r="AV28" s="11">
        <v>1</v>
      </c>
      <c r="AW28" s="11">
        <v>0</v>
      </c>
      <c r="AX28" s="11">
        <v>0</v>
      </c>
      <c r="AY28" s="11">
        <v>1</v>
      </c>
      <c r="AZ28" s="11">
        <v>1</v>
      </c>
      <c r="BA28" s="11">
        <v>1</v>
      </c>
      <c r="BB28" s="11">
        <v>1</v>
      </c>
      <c r="BC28" s="11">
        <v>1</v>
      </c>
      <c r="BD28" s="11">
        <v>1</v>
      </c>
      <c r="BE28" s="11">
        <v>0</v>
      </c>
      <c r="BF28" s="11">
        <v>0</v>
      </c>
      <c r="BG28" s="5">
        <f t="shared" si="8"/>
        <v>161.94345290562873</v>
      </c>
      <c r="BH28" s="3">
        <f t="shared" si="9"/>
        <v>41.356879788086097</v>
      </c>
      <c r="BI28" s="3">
        <f t="shared" si="10"/>
        <v>13.643120211913903</v>
      </c>
      <c r="BJ28" s="3">
        <f t="shared" si="12"/>
        <v>1.1090034062335423</v>
      </c>
      <c r="BK28" s="3">
        <f t="shared" si="3"/>
        <v>-0.45609683602320777</v>
      </c>
      <c r="BL28" s="3">
        <f t="shared" si="4"/>
        <v>0.94333424358242735</v>
      </c>
      <c r="BM28" s="3">
        <f t="shared" si="5"/>
        <v>1.6591152636557434</v>
      </c>
      <c r="BN28" s="3">
        <f t="shared" si="6"/>
        <v>66.591152636557439</v>
      </c>
      <c r="BO28" s="2" t="str">
        <f t="shared" si="7"/>
        <v>A</v>
      </c>
    </row>
    <row r="29" spans="1:67" x14ac:dyDescent="0.35">
      <c r="A29" s="1">
        <v>28</v>
      </c>
      <c r="B29" s="12">
        <v>2819216</v>
      </c>
      <c r="C29" s="11">
        <v>44</v>
      </c>
      <c r="D29" s="11">
        <v>0</v>
      </c>
      <c r="E29" s="11">
        <v>1</v>
      </c>
      <c r="F29" s="11">
        <v>1</v>
      </c>
      <c r="G29" s="11">
        <v>1</v>
      </c>
      <c r="H29" s="11">
        <v>1</v>
      </c>
      <c r="I29" s="11">
        <v>1</v>
      </c>
      <c r="J29" s="11">
        <v>1</v>
      </c>
      <c r="K29" s="11">
        <v>1</v>
      </c>
      <c r="L29" s="11">
        <v>1</v>
      </c>
      <c r="M29" s="11">
        <v>1</v>
      </c>
      <c r="N29" s="11">
        <v>1</v>
      </c>
      <c r="O29" s="11">
        <v>1</v>
      </c>
      <c r="P29" s="11">
        <v>1</v>
      </c>
      <c r="Q29" s="11">
        <v>1</v>
      </c>
      <c r="R29" s="11">
        <v>1</v>
      </c>
      <c r="S29" s="11">
        <v>1</v>
      </c>
      <c r="T29" s="11">
        <v>1</v>
      </c>
      <c r="U29" s="11">
        <v>1</v>
      </c>
      <c r="V29" s="11">
        <v>1</v>
      </c>
      <c r="W29" s="11">
        <v>1</v>
      </c>
      <c r="X29" s="11">
        <v>1</v>
      </c>
      <c r="Y29" s="11">
        <v>1</v>
      </c>
      <c r="Z29" s="11">
        <v>0</v>
      </c>
      <c r="AA29" s="11">
        <v>0</v>
      </c>
      <c r="AB29" s="11">
        <v>1</v>
      </c>
      <c r="AC29" s="11">
        <v>1</v>
      </c>
      <c r="AD29" s="11">
        <v>1</v>
      </c>
      <c r="AE29" s="11">
        <v>1</v>
      </c>
      <c r="AF29" s="11">
        <v>1</v>
      </c>
      <c r="AG29" s="11">
        <v>1</v>
      </c>
      <c r="AH29" s="11">
        <v>1</v>
      </c>
      <c r="AI29" s="11">
        <v>0</v>
      </c>
      <c r="AJ29" s="11">
        <v>1</v>
      </c>
      <c r="AK29" s="11">
        <v>1</v>
      </c>
      <c r="AL29" s="11">
        <v>1</v>
      </c>
      <c r="AM29" s="11">
        <v>0</v>
      </c>
      <c r="AN29" s="11">
        <v>0</v>
      </c>
      <c r="AO29" s="11">
        <v>1</v>
      </c>
      <c r="AP29" s="11">
        <v>1</v>
      </c>
      <c r="AQ29" s="11">
        <v>1</v>
      </c>
      <c r="AR29" s="11">
        <v>1</v>
      </c>
      <c r="AS29" s="11">
        <v>1</v>
      </c>
      <c r="AT29" s="11">
        <v>1</v>
      </c>
      <c r="AU29" s="11">
        <v>1</v>
      </c>
      <c r="AV29" s="11">
        <v>1</v>
      </c>
      <c r="AW29" s="11">
        <v>1</v>
      </c>
      <c r="AX29" s="11">
        <v>0</v>
      </c>
      <c r="AY29" s="11">
        <v>0</v>
      </c>
      <c r="AZ29" s="11">
        <v>1</v>
      </c>
      <c r="BA29" s="11">
        <v>1</v>
      </c>
      <c r="BB29" s="11">
        <v>1</v>
      </c>
      <c r="BC29" s="11">
        <v>0</v>
      </c>
      <c r="BD29" s="11">
        <v>1</v>
      </c>
      <c r="BE29" s="11">
        <v>0</v>
      </c>
      <c r="BF29" s="11">
        <v>0</v>
      </c>
      <c r="BG29" s="5">
        <f t="shared" si="8"/>
        <v>161.49664998832816</v>
      </c>
      <c r="BH29" s="3">
        <f t="shared" si="9"/>
        <v>41.242775919061309</v>
      </c>
      <c r="BI29" s="3">
        <f t="shared" si="10"/>
        <v>13.757224080938691</v>
      </c>
      <c r="BJ29" s="3">
        <f t="shared" si="12"/>
        <v>1.097911894359483</v>
      </c>
      <c r="BK29" s="3">
        <f t="shared" si="3"/>
        <v>-0.45609683602320777</v>
      </c>
      <c r="BL29" s="3">
        <f t="shared" si="4"/>
        <v>0.94333424358242735</v>
      </c>
      <c r="BM29" s="3">
        <f t="shared" si="5"/>
        <v>1.647357488562222</v>
      </c>
      <c r="BN29" s="3">
        <f t="shared" si="6"/>
        <v>66.473574885622213</v>
      </c>
      <c r="BO29" s="2" t="str">
        <f t="shared" si="7"/>
        <v>A</v>
      </c>
    </row>
    <row r="30" spans="1:67" x14ac:dyDescent="0.35">
      <c r="A30" s="15">
        <v>29</v>
      </c>
      <c r="B30" s="10" t="s">
        <v>74</v>
      </c>
      <c r="C30" s="11">
        <v>45</v>
      </c>
      <c r="D30" s="11">
        <v>1</v>
      </c>
      <c r="E30" s="11">
        <v>1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>
        <v>1</v>
      </c>
      <c r="AM30" s="11">
        <v>1</v>
      </c>
      <c r="AN30" s="11">
        <v>1</v>
      </c>
      <c r="AO30" s="11">
        <v>1</v>
      </c>
      <c r="AP30" s="11">
        <v>1</v>
      </c>
      <c r="AQ30" s="11">
        <v>1</v>
      </c>
      <c r="AR30" s="11">
        <v>1</v>
      </c>
      <c r="AS30" s="11">
        <v>1</v>
      </c>
      <c r="AT30" s="11">
        <v>1</v>
      </c>
      <c r="AU30" s="11">
        <v>1</v>
      </c>
      <c r="AV30" s="11">
        <v>1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5">
        <f t="shared" si="8"/>
        <v>161.17681574134707</v>
      </c>
      <c r="BH30" s="3">
        <f t="shared" si="9"/>
        <v>41.161097121510792</v>
      </c>
      <c r="BI30" s="3">
        <f t="shared" si="10"/>
        <v>13.838902878489208</v>
      </c>
      <c r="BJ30" s="3">
        <f t="shared" si="12"/>
        <v>1.0900098903902864</v>
      </c>
      <c r="BK30" s="3">
        <f t="shared" si="3"/>
        <v>-0.45609683602320777</v>
      </c>
      <c r="BL30" s="3">
        <f t="shared" si="4"/>
        <v>0.94333424358242735</v>
      </c>
      <c r="BM30" s="3">
        <f t="shared" si="5"/>
        <v>1.6389808139922544</v>
      </c>
      <c r="BN30" s="3">
        <f t="shared" si="6"/>
        <v>66.389808139922536</v>
      </c>
      <c r="BO30" s="2" t="str">
        <f t="shared" si="7"/>
        <v>A</v>
      </c>
    </row>
    <row r="31" spans="1:67" x14ac:dyDescent="0.35">
      <c r="A31" s="15">
        <v>30</v>
      </c>
      <c r="B31" s="10" t="s">
        <v>75</v>
      </c>
      <c r="C31" s="11">
        <v>45</v>
      </c>
      <c r="D31" s="11">
        <v>1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1">
        <v>1</v>
      </c>
      <c r="AG31" s="11">
        <v>1</v>
      </c>
      <c r="AH31" s="11">
        <v>1</v>
      </c>
      <c r="AI31" s="11">
        <v>0</v>
      </c>
      <c r="AJ31" s="11">
        <v>1</v>
      </c>
      <c r="AK31" s="11">
        <v>1</v>
      </c>
      <c r="AL31" s="11">
        <v>1</v>
      </c>
      <c r="AM31" s="11">
        <v>1</v>
      </c>
      <c r="AN31" s="11">
        <v>0</v>
      </c>
      <c r="AO31" s="11">
        <v>0</v>
      </c>
      <c r="AP31" s="11">
        <v>0</v>
      </c>
      <c r="AQ31" s="11">
        <v>1</v>
      </c>
      <c r="AR31" s="11">
        <v>1</v>
      </c>
      <c r="AS31" s="11">
        <v>1</v>
      </c>
      <c r="AT31" s="11">
        <v>0</v>
      </c>
      <c r="AU31" s="11">
        <v>1</v>
      </c>
      <c r="AV31" s="11">
        <v>1</v>
      </c>
      <c r="AW31" s="11">
        <v>0</v>
      </c>
      <c r="AX31" s="11">
        <v>0</v>
      </c>
      <c r="AY31" s="11">
        <v>1</v>
      </c>
      <c r="AZ31" s="11">
        <v>1</v>
      </c>
      <c r="BA31" s="11">
        <v>1</v>
      </c>
      <c r="BB31" s="11">
        <v>1</v>
      </c>
      <c r="BC31" s="11">
        <v>1</v>
      </c>
      <c r="BD31" s="11">
        <v>0</v>
      </c>
      <c r="BE31" s="11">
        <v>0</v>
      </c>
      <c r="BF31" s="11">
        <v>0</v>
      </c>
      <c r="BG31" s="5">
        <f t="shared" si="8"/>
        <v>160.59540349022322</v>
      </c>
      <c r="BH31" s="3">
        <f t="shared" si="9"/>
        <v>41.012616919652544</v>
      </c>
      <c r="BI31" s="3">
        <f t="shared" si="10"/>
        <v>13.987383080347456</v>
      </c>
      <c r="BJ31" s="3">
        <f t="shared" si="12"/>
        <v>1.0757240343767627</v>
      </c>
      <c r="BK31" s="3">
        <f t="shared" si="3"/>
        <v>-0.45609683602320777</v>
      </c>
      <c r="BL31" s="3">
        <f t="shared" si="4"/>
        <v>0.94333424358242735</v>
      </c>
      <c r="BM31" s="3">
        <f t="shared" si="5"/>
        <v>1.6238368116296649</v>
      </c>
      <c r="BN31" s="3">
        <f t="shared" si="6"/>
        <v>66.238368116296641</v>
      </c>
      <c r="BO31" s="2" t="str">
        <f t="shared" si="7"/>
        <v>A</v>
      </c>
    </row>
    <row r="32" spans="1:67" x14ac:dyDescent="0.35">
      <c r="A32" s="1">
        <v>31</v>
      </c>
      <c r="B32" s="10" t="s">
        <v>76</v>
      </c>
      <c r="C32" s="11">
        <v>44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1</v>
      </c>
      <c r="M32" s="11">
        <v>1</v>
      </c>
      <c r="N32" s="11">
        <v>1</v>
      </c>
      <c r="O32" s="11">
        <v>1</v>
      </c>
      <c r="P32" s="11">
        <v>0</v>
      </c>
      <c r="Q32" s="11">
        <v>1</v>
      </c>
      <c r="R32" s="11">
        <v>1</v>
      </c>
      <c r="S32" s="11">
        <v>1</v>
      </c>
      <c r="T32" s="11">
        <v>1</v>
      </c>
      <c r="U32" s="11">
        <v>1</v>
      </c>
      <c r="V32" s="11">
        <v>1</v>
      </c>
      <c r="W32" s="11">
        <v>1</v>
      </c>
      <c r="X32" s="11">
        <v>0</v>
      </c>
      <c r="Y32" s="11">
        <v>0</v>
      </c>
      <c r="Z32" s="11">
        <v>1</v>
      </c>
      <c r="AA32" s="11">
        <v>1</v>
      </c>
      <c r="AB32" s="11">
        <v>0</v>
      </c>
      <c r="AC32" s="11">
        <v>1</v>
      </c>
      <c r="AD32" s="11">
        <v>1</v>
      </c>
      <c r="AE32" s="11">
        <v>1</v>
      </c>
      <c r="AF32" s="11">
        <v>1</v>
      </c>
      <c r="AG32" s="11">
        <v>0</v>
      </c>
      <c r="AH32" s="11">
        <v>1</v>
      </c>
      <c r="AI32" s="11">
        <v>1</v>
      </c>
      <c r="AJ32" s="11">
        <v>1</v>
      </c>
      <c r="AK32" s="11">
        <v>1</v>
      </c>
      <c r="AL32" s="11">
        <v>1</v>
      </c>
      <c r="AM32" s="11">
        <v>1</v>
      </c>
      <c r="AN32" s="11">
        <v>1</v>
      </c>
      <c r="AO32" s="11">
        <v>0</v>
      </c>
      <c r="AP32" s="11">
        <v>1</v>
      </c>
      <c r="AQ32" s="11">
        <v>1</v>
      </c>
      <c r="AR32" s="11">
        <v>1</v>
      </c>
      <c r="AS32" s="11">
        <v>0</v>
      </c>
      <c r="AT32" s="11">
        <v>1</v>
      </c>
      <c r="AU32" s="11">
        <v>1</v>
      </c>
      <c r="AV32" s="11">
        <v>1</v>
      </c>
      <c r="AW32" s="11">
        <v>1</v>
      </c>
      <c r="AX32" s="11">
        <v>0</v>
      </c>
      <c r="AY32" s="11">
        <v>0</v>
      </c>
      <c r="AZ32" s="11">
        <v>1</v>
      </c>
      <c r="BA32" s="11">
        <v>1</v>
      </c>
      <c r="BB32" s="11">
        <v>1</v>
      </c>
      <c r="BC32" s="11">
        <v>1</v>
      </c>
      <c r="BD32" s="11">
        <v>1</v>
      </c>
      <c r="BE32" s="11">
        <v>0</v>
      </c>
      <c r="BF32" s="11">
        <v>0</v>
      </c>
      <c r="BG32" s="5">
        <f t="shared" si="8"/>
        <v>159.75803523955443</v>
      </c>
      <c r="BH32" s="3">
        <f t="shared" si="9"/>
        <v>40.798771052716205</v>
      </c>
      <c r="BI32" s="3">
        <f t="shared" si="10"/>
        <v>14.201228947283795</v>
      </c>
      <c r="BJ32" s="3">
        <f t="shared" si="12"/>
        <v>1.0553234532537781</v>
      </c>
      <c r="BK32" s="3">
        <f t="shared" si="3"/>
        <v>-0.45609683602320777</v>
      </c>
      <c r="BL32" s="3">
        <f t="shared" si="4"/>
        <v>0.94333424358242735</v>
      </c>
      <c r="BM32" s="3">
        <f t="shared" si="5"/>
        <v>1.6022107747696959</v>
      </c>
      <c r="BN32" s="3">
        <f t="shared" si="6"/>
        <v>66.022107747696964</v>
      </c>
      <c r="BO32" s="2" t="str">
        <f t="shared" si="7"/>
        <v>A</v>
      </c>
    </row>
    <row r="33" spans="1:67" x14ac:dyDescent="0.35">
      <c r="A33" s="15">
        <v>32</v>
      </c>
      <c r="B33" s="10" t="s">
        <v>77</v>
      </c>
      <c r="C33" s="11">
        <v>44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1</v>
      </c>
      <c r="L33" s="11">
        <v>1</v>
      </c>
      <c r="M33" s="11">
        <v>1</v>
      </c>
      <c r="N33" s="11">
        <v>1</v>
      </c>
      <c r="O33" s="11">
        <v>1</v>
      </c>
      <c r="P33" s="11">
        <v>1</v>
      </c>
      <c r="Q33" s="11">
        <v>1</v>
      </c>
      <c r="R33" s="11">
        <v>1</v>
      </c>
      <c r="S33" s="11">
        <v>0</v>
      </c>
      <c r="T33" s="11">
        <v>1</v>
      </c>
      <c r="U33" s="11">
        <v>1</v>
      </c>
      <c r="V33" s="11">
        <v>1</v>
      </c>
      <c r="W33" s="11">
        <v>1</v>
      </c>
      <c r="X33" s="11">
        <v>1</v>
      </c>
      <c r="Y33" s="11">
        <v>1</v>
      </c>
      <c r="Z33" s="11">
        <v>1</v>
      </c>
      <c r="AA33" s="11">
        <v>1</v>
      </c>
      <c r="AB33" s="11">
        <v>0</v>
      </c>
      <c r="AC33" s="11">
        <v>1</v>
      </c>
      <c r="AD33" s="11">
        <v>0</v>
      </c>
      <c r="AE33" s="11">
        <v>1</v>
      </c>
      <c r="AF33" s="11">
        <v>1</v>
      </c>
      <c r="AG33" s="11">
        <v>0</v>
      </c>
      <c r="AH33" s="11">
        <v>1</v>
      </c>
      <c r="AI33" s="11">
        <v>1</v>
      </c>
      <c r="AJ33" s="11">
        <v>1</v>
      </c>
      <c r="AK33" s="11">
        <v>1</v>
      </c>
      <c r="AL33" s="11">
        <v>1</v>
      </c>
      <c r="AM33" s="11">
        <v>1</v>
      </c>
      <c r="AN33" s="11">
        <v>1</v>
      </c>
      <c r="AO33" s="11">
        <v>1</v>
      </c>
      <c r="AP33" s="11">
        <v>1</v>
      </c>
      <c r="AQ33" s="11">
        <v>1</v>
      </c>
      <c r="AR33" s="11">
        <v>1</v>
      </c>
      <c r="AS33" s="11">
        <v>1</v>
      </c>
      <c r="AT33" s="11">
        <v>1</v>
      </c>
      <c r="AU33" s="11">
        <v>0</v>
      </c>
      <c r="AV33" s="11">
        <v>1</v>
      </c>
      <c r="AW33" s="11">
        <v>0</v>
      </c>
      <c r="AX33" s="11">
        <v>0</v>
      </c>
      <c r="AY33" s="11">
        <v>1</v>
      </c>
      <c r="AZ33" s="11">
        <v>0</v>
      </c>
      <c r="BA33" s="11">
        <v>0</v>
      </c>
      <c r="BB33" s="11">
        <v>1</v>
      </c>
      <c r="BC33" s="11">
        <v>1</v>
      </c>
      <c r="BD33" s="11">
        <v>1</v>
      </c>
      <c r="BE33" s="11">
        <v>0</v>
      </c>
      <c r="BF33" s="11">
        <v>0</v>
      </c>
      <c r="BG33" s="5">
        <f t="shared" si="8"/>
        <v>159.57043040525119</v>
      </c>
      <c r="BH33" s="3">
        <f t="shared" si="9"/>
        <v>40.750860807252529</v>
      </c>
      <c r="BI33" s="3">
        <f t="shared" si="10"/>
        <v>14.249139192747471</v>
      </c>
      <c r="BJ33" s="3">
        <f t="shared" si="12"/>
        <v>1.0507804662045592</v>
      </c>
      <c r="BK33" s="3">
        <f t="shared" si="3"/>
        <v>-0.45609683602320777</v>
      </c>
      <c r="BL33" s="3">
        <f t="shared" si="4"/>
        <v>0.94333424358242735</v>
      </c>
      <c r="BM33" s="3">
        <f t="shared" si="5"/>
        <v>1.5973948920853502</v>
      </c>
      <c r="BN33" s="3">
        <f t="shared" si="6"/>
        <v>65.973948920853502</v>
      </c>
      <c r="BO33" s="2" t="str">
        <f t="shared" si="7"/>
        <v>A</v>
      </c>
    </row>
    <row r="34" spans="1:67" x14ac:dyDescent="0.35">
      <c r="A34" s="15">
        <v>33</v>
      </c>
      <c r="B34" s="10" t="s">
        <v>78</v>
      </c>
      <c r="C34" s="11">
        <v>43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  <c r="O34" s="11">
        <v>1</v>
      </c>
      <c r="P34" s="11">
        <v>0</v>
      </c>
      <c r="Q34" s="11">
        <v>1</v>
      </c>
      <c r="R34" s="11">
        <v>1</v>
      </c>
      <c r="S34" s="11">
        <v>1</v>
      </c>
      <c r="T34" s="11">
        <v>1</v>
      </c>
      <c r="U34" s="11">
        <v>1</v>
      </c>
      <c r="V34" s="11">
        <v>0</v>
      </c>
      <c r="W34" s="11">
        <v>1</v>
      </c>
      <c r="X34" s="11">
        <v>0</v>
      </c>
      <c r="Y34" s="11">
        <v>0</v>
      </c>
      <c r="Z34" s="11">
        <v>0</v>
      </c>
      <c r="AA34" s="11">
        <v>1</v>
      </c>
      <c r="AB34" s="11">
        <v>0</v>
      </c>
      <c r="AC34" s="11">
        <v>1</v>
      </c>
      <c r="AD34" s="11">
        <v>1</v>
      </c>
      <c r="AE34" s="11">
        <v>1</v>
      </c>
      <c r="AF34" s="11">
        <v>1</v>
      </c>
      <c r="AG34" s="11">
        <v>1</v>
      </c>
      <c r="AH34" s="11">
        <v>1</v>
      </c>
      <c r="AI34" s="11">
        <v>1</v>
      </c>
      <c r="AJ34" s="11">
        <v>1</v>
      </c>
      <c r="AK34" s="11">
        <v>1</v>
      </c>
      <c r="AL34" s="11">
        <v>1</v>
      </c>
      <c r="AM34" s="11">
        <v>1</v>
      </c>
      <c r="AN34" s="11">
        <v>1</v>
      </c>
      <c r="AO34" s="11">
        <v>0</v>
      </c>
      <c r="AP34" s="11">
        <v>0</v>
      </c>
      <c r="AQ34" s="11">
        <v>1</v>
      </c>
      <c r="AR34" s="11">
        <v>1</v>
      </c>
      <c r="AS34" s="11">
        <v>0</v>
      </c>
      <c r="AT34" s="11">
        <v>1</v>
      </c>
      <c r="AU34" s="11">
        <v>0</v>
      </c>
      <c r="AV34" s="11">
        <v>0</v>
      </c>
      <c r="AW34" s="11">
        <v>1</v>
      </c>
      <c r="AX34" s="11">
        <v>1</v>
      </c>
      <c r="AY34" s="11">
        <v>1</v>
      </c>
      <c r="AZ34" s="11">
        <v>0</v>
      </c>
      <c r="BA34" s="11">
        <v>1</v>
      </c>
      <c r="BB34" s="11">
        <v>1</v>
      </c>
      <c r="BC34" s="11">
        <v>1</v>
      </c>
      <c r="BD34" s="11">
        <v>1</v>
      </c>
      <c r="BE34" s="11">
        <v>1</v>
      </c>
      <c r="BF34" s="11">
        <v>1</v>
      </c>
      <c r="BG34" s="5">
        <f t="shared" si="8"/>
        <v>159.23004121896349</v>
      </c>
      <c r="BH34" s="3">
        <f t="shared" si="9"/>
        <v>40.663932719664643</v>
      </c>
      <c r="BI34" s="3">
        <f t="shared" si="10"/>
        <v>14.336067280335357</v>
      </c>
      <c r="BJ34" s="3">
        <f t="shared" si="12"/>
        <v>1.0425629762749502</v>
      </c>
      <c r="BK34" s="3">
        <f t="shared" si="3"/>
        <v>-0.45609683602320777</v>
      </c>
      <c r="BL34" s="3">
        <f t="shared" si="4"/>
        <v>0.94333424358242735</v>
      </c>
      <c r="BM34" s="3">
        <f t="shared" si="5"/>
        <v>1.5886837804242258</v>
      </c>
      <c r="BN34" s="3">
        <f t="shared" si="6"/>
        <v>65.886837804242262</v>
      </c>
      <c r="BO34" s="2" t="str">
        <f t="shared" si="7"/>
        <v>A</v>
      </c>
    </row>
    <row r="35" spans="1:67" x14ac:dyDescent="0.35">
      <c r="A35" s="1">
        <v>34</v>
      </c>
      <c r="B35" s="10" t="s">
        <v>79</v>
      </c>
      <c r="C35" s="11">
        <v>44</v>
      </c>
      <c r="D35" s="11">
        <v>1</v>
      </c>
      <c r="E35" s="11">
        <v>1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11">
        <v>1</v>
      </c>
      <c r="L35" s="11">
        <v>1</v>
      </c>
      <c r="M35" s="11">
        <v>1</v>
      </c>
      <c r="N35" s="11">
        <v>1</v>
      </c>
      <c r="O35" s="11">
        <v>1</v>
      </c>
      <c r="P35" s="11">
        <v>1</v>
      </c>
      <c r="Q35" s="11">
        <v>1</v>
      </c>
      <c r="R35" s="11">
        <v>1</v>
      </c>
      <c r="S35" s="11">
        <v>1</v>
      </c>
      <c r="T35" s="11">
        <v>1</v>
      </c>
      <c r="U35" s="11">
        <v>1</v>
      </c>
      <c r="V35" s="11">
        <v>1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0</v>
      </c>
      <c r="AC35" s="11">
        <v>1</v>
      </c>
      <c r="AD35" s="11">
        <v>1</v>
      </c>
      <c r="AE35" s="11">
        <v>1</v>
      </c>
      <c r="AF35" s="11">
        <v>1</v>
      </c>
      <c r="AG35" s="11">
        <v>1</v>
      </c>
      <c r="AH35" s="11">
        <v>1</v>
      </c>
      <c r="AI35" s="11">
        <v>1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1</v>
      </c>
      <c r="AR35" s="11">
        <v>1</v>
      </c>
      <c r="AS35" s="11">
        <v>1</v>
      </c>
      <c r="AT35" s="11">
        <v>1</v>
      </c>
      <c r="AU35" s="11">
        <v>1</v>
      </c>
      <c r="AV35" s="11">
        <v>1</v>
      </c>
      <c r="AW35" s="11">
        <v>0</v>
      </c>
      <c r="AX35" s="11">
        <v>0</v>
      </c>
      <c r="AY35" s="11">
        <v>1</v>
      </c>
      <c r="AZ35" s="11">
        <v>1</v>
      </c>
      <c r="BA35" s="11">
        <v>1</v>
      </c>
      <c r="BB35" s="11">
        <v>1</v>
      </c>
      <c r="BC35" s="11">
        <v>0</v>
      </c>
      <c r="BD35" s="11">
        <v>0</v>
      </c>
      <c r="BE35" s="11">
        <v>0</v>
      </c>
      <c r="BF35" s="11">
        <v>0</v>
      </c>
      <c r="BG35" s="5">
        <f t="shared" si="8"/>
        <v>158.46772125056978</v>
      </c>
      <c r="BH35" s="3">
        <f t="shared" si="9"/>
        <v>40.469252572198059</v>
      </c>
      <c r="BI35" s="3">
        <f t="shared" si="10"/>
        <v>14.530747427801941</v>
      </c>
      <c r="BJ35" s="3">
        <f t="shared" si="12"/>
        <v>1.0242755734533571</v>
      </c>
      <c r="BK35" s="3">
        <f t="shared" si="3"/>
        <v>-0.45609683602320777</v>
      </c>
      <c r="BL35" s="3">
        <f t="shared" si="4"/>
        <v>0.94333424358242735</v>
      </c>
      <c r="BM35" s="3">
        <f t="shared" si="5"/>
        <v>1.5692978597434026</v>
      </c>
      <c r="BN35" s="3">
        <f t="shared" si="6"/>
        <v>65.692978597434021</v>
      </c>
      <c r="BO35" s="2" t="str">
        <f t="shared" si="7"/>
        <v>A</v>
      </c>
    </row>
    <row r="36" spans="1:67" x14ac:dyDescent="0.35">
      <c r="A36" s="15">
        <v>35</v>
      </c>
      <c r="B36" s="10" t="s">
        <v>80</v>
      </c>
      <c r="C36" s="11">
        <v>44</v>
      </c>
      <c r="D36" s="11">
        <v>0</v>
      </c>
      <c r="E36" s="11">
        <v>1</v>
      </c>
      <c r="F36" s="11">
        <v>1</v>
      </c>
      <c r="G36" s="11">
        <v>1</v>
      </c>
      <c r="H36" s="11">
        <v>1</v>
      </c>
      <c r="I36" s="11">
        <v>1</v>
      </c>
      <c r="J36" s="11">
        <v>1</v>
      </c>
      <c r="K36" s="11">
        <v>1</v>
      </c>
      <c r="L36" s="11">
        <v>1</v>
      </c>
      <c r="M36" s="11">
        <v>1</v>
      </c>
      <c r="N36" s="11">
        <v>1</v>
      </c>
      <c r="O36" s="11">
        <v>1</v>
      </c>
      <c r="P36" s="11">
        <v>1</v>
      </c>
      <c r="Q36" s="11">
        <v>1</v>
      </c>
      <c r="R36" s="11">
        <v>1</v>
      </c>
      <c r="S36" s="11">
        <v>1</v>
      </c>
      <c r="T36" s="11">
        <v>1</v>
      </c>
      <c r="U36" s="11">
        <v>1</v>
      </c>
      <c r="V36" s="11">
        <v>1</v>
      </c>
      <c r="W36" s="11">
        <v>1</v>
      </c>
      <c r="X36" s="11">
        <v>1</v>
      </c>
      <c r="Y36" s="11">
        <v>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1">
        <v>1</v>
      </c>
      <c r="AG36" s="11">
        <v>1</v>
      </c>
      <c r="AH36" s="11">
        <v>1</v>
      </c>
      <c r="AI36" s="11">
        <v>1</v>
      </c>
      <c r="AJ36" s="11">
        <v>1</v>
      </c>
      <c r="AK36" s="11">
        <v>1</v>
      </c>
      <c r="AL36" s="11">
        <v>1</v>
      </c>
      <c r="AM36" s="11">
        <v>1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1</v>
      </c>
      <c r="AT36" s="11">
        <v>0</v>
      </c>
      <c r="AU36" s="11">
        <v>1</v>
      </c>
      <c r="AV36" s="11">
        <v>1</v>
      </c>
      <c r="AW36" s="11">
        <v>1</v>
      </c>
      <c r="AX36" s="11">
        <v>1</v>
      </c>
      <c r="AY36" s="11">
        <v>0</v>
      </c>
      <c r="AZ36" s="11">
        <v>0</v>
      </c>
      <c r="BA36" s="11">
        <v>1</v>
      </c>
      <c r="BB36" s="11">
        <v>1</v>
      </c>
      <c r="BC36" s="11">
        <v>1</v>
      </c>
      <c r="BD36" s="11">
        <v>1</v>
      </c>
      <c r="BE36" s="11">
        <v>0</v>
      </c>
      <c r="BF36" s="11">
        <v>0</v>
      </c>
      <c r="BG36" s="5">
        <f t="shared" si="8"/>
        <v>158.41783256193673</v>
      </c>
      <c r="BH36" s="3">
        <f t="shared" si="9"/>
        <v>40.456512072588083</v>
      </c>
      <c r="BI36" s="3">
        <f t="shared" si="10"/>
        <v>14.543487927411917</v>
      </c>
      <c r="BJ36" s="3">
        <f t="shared" si="12"/>
        <v>1.0230842929125548</v>
      </c>
      <c r="BK36" s="3">
        <f t="shared" si="3"/>
        <v>-0.45609683602320777</v>
      </c>
      <c r="BL36" s="3">
        <f t="shared" si="4"/>
        <v>0.94333424358242735</v>
      </c>
      <c r="BM36" s="3">
        <f t="shared" si="5"/>
        <v>1.5680350193992652</v>
      </c>
      <c r="BN36" s="3">
        <f t="shared" si="6"/>
        <v>65.680350193992652</v>
      </c>
      <c r="BO36" s="2" t="str">
        <f t="shared" si="7"/>
        <v>A</v>
      </c>
    </row>
    <row r="37" spans="1:67" x14ac:dyDescent="0.35">
      <c r="A37" s="15">
        <v>36</v>
      </c>
      <c r="B37" s="10" t="s">
        <v>81</v>
      </c>
      <c r="C37" s="11">
        <v>43</v>
      </c>
      <c r="D37" s="11">
        <v>1</v>
      </c>
      <c r="E37" s="11">
        <v>1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11">
        <v>1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  <c r="S37" s="11">
        <v>1</v>
      </c>
      <c r="T37" s="11">
        <v>1</v>
      </c>
      <c r="U37" s="11">
        <v>0</v>
      </c>
      <c r="V37" s="11">
        <v>0</v>
      </c>
      <c r="W37" s="11">
        <v>0</v>
      </c>
      <c r="X37" s="11">
        <v>1</v>
      </c>
      <c r="Y37" s="11">
        <v>1</v>
      </c>
      <c r="Z37" s="11">
        <v>1</v>
      </c>
      <c r="AA37" s="11">
        <v>1</v>
      </c>
      <c r="AB37" s="11">
        <v>0</v>
      </c>
      <c r="AC37" s="11">
        <v>1</v>
      </c>
      <c r="AD37" s="11">
        <v>1</v>
      </c>
      <c r="AE37" s="11">
        <v>1</v>
      </c>
      <c r="AF37" s="11">
        <v>1</v>
      </c>
      <c r="AG37" s="11">
        <v>1</v>
      </c>
      <c r="AH37" s="11">
        <v>1</v>
      </c>
      <c r="AI37" s="11">
        <v>1</v>
      </c>
      <c r="AJ37" s="11">
        <v>1</v>
      </c>
      <c r="AK37" s="11">
        <v>1</v>
      </c>
      <c r="AL37" s="11">
        <v>1</v>
      </c>
      <c r="AM37" s="11">
        <v>1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1</v>
      </c>
      <c r="AT37" s="11">
        <v>0</v>
      </c>
      <c r="AU37" s="11">
        <v>1</v>
      </c>
      <c r="AV37" s="11">
        <v>1</v>
      </c>
      <c r="AW37" s="11">
        <v>1</v>
      </c>
      <c r="AX37" s="11">
        <v>1</v>
      </c>
      <c r="AY37" s="11">
        <v>1</v>
      </c>
      <c r="AZ37" s="11">
        <v>0</v>
      </c>
      <c r="BA37" s="11">
        <v>1</v>
      </c>
      <c r="BB37" s="11">
        <v>1</v>
      </c>
      <c r="BC37" s="11">
        <v>1</v>
      </c>
      <c r="BD37" s="11">
        <v>1</v>
      </c>
      <c r="BE37" s="11">
        <v>1</v>
      </c>
      <c r="BF37" s="11">
        <v>0</v>
      </c>
      <c r="BG37" s="5">
        <f t="shared" si="8"/>
        <v>158.05248125656669</v>
      </c>
      <c r="BH37" s="3">
        <f t="shared" si="9"/>
        <v>40.363209195901774</v>
      </c>
      <c r="BI37" s="3">
        <f t="shared" si="10"/>
        <v>14.636790804098226</v>
      </c>
      <c r="BJ37" s="3">
        <f t="shared" si="12"/>
        <v>1.01438042946006</v>
      </c>
      <c r="BK37" s="3">
        <f t="shared" si="3"/>
        <v>-0.45609683602320777</v>
      </c>
      <c r="BL37" s="3">
        <f t="shared" si="4"/>
        <v>0.94333424358242735</v>
      </c>
      <c r="BM37" s="3">
        <f t="shared" si="5"/>
        <v>1.5588083179287018</v>
      </c>
      <c r="BN37" s="3">
        <f t="shared" si="6"/>
        <v>65.588083179287025</v>
      </c>
      <c r="BO37" s="2" t="str">
        <f t="shared" si="7"/>
        <v>A</v>
      </c>
    </row>
    <row r="38" spans="1:67" x14ac:dyDescent="0.35">
      <c r="A38" s="1">
        <v>37</v>
      </c>
      <c r="B38" s="10" t="s">
        <v>82</v>
      </c>
      <c r="C38" s="11">
        <v>42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0</v>
      </c>
      <c r="L38" s="11">
        <v>1</v>
      </c>
      <c r="M38" s="11">
        <v>0</v>
      </c>
      <c r="N38" s="11">
        <v>1</v>
      </c>
      <c r="O38" s="11">
        <v>1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1">
        <v>1</v>
      </c>
      <c r="V38" s="11">
        <v>1</v>
      </c>
      <c r="W38" s="11">
        <v>0</v>
      </c>
      <c r="X38" s="11">
        <v>1</v>
      </c>
      <c r="Y38" s="11">
        <v>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1">
        <v>1</v>
      </c>
      <c r="AG38" s="11">
        <v>1</v>
      </c>
      <c r="AH38" s="11">
        <v>1</v>
      </c>
      <c r="AI38" s="11">
        <v>1</v>
      </c>
      <c r="AJ38" s="11">
        <v>1</v>
      </c>
      <c r="AK38" s="11">
        <v>1</v>
      </c>
      <c r="AL38" s="11">
        <v>1</v>
      </c>
      <c r="AM38" s="11">
        <v>0</v>
      </c>
      <c r="AN38" s="11">
        <v>1</v>
      </c>
      <c r="AO38" s="11">
        <v>1</v>
      </c>
      <c r="AP38" s="11">
        <v>0</v>
      </c>
      <c r="AQ38" s="11">
        <v>1</v>
      </c>
      <c r="AR38" s="11">
        <v>0</v>
      </c>
      <c r="AS38" s="11">
        <v>0</v>
      </c>
      <c r="AT38" s="11">
        <v>1</v>
      </c>
      <c r="AU38" s="11">
        <v>1</v>
      </c>
      <c r="AV38" s="11">
        <v>0</v>
      </c>
      <c r="AW38" s="11">
        <v>1</v>
      </c>
      <c r="AX38" s="11">
        <v>1</v>
      </c>
      <c r="AY38" s="11">
        <v>1</v>
      </c>
      <c r="AZ38" s="11">
        <v>0</v>
      </c>
      <c r="BA38" s="11">
        <v>0</v>
      </c>
      <c r="BB38" s="11">
        <v>1</v>
      </c>
      <c r="BC38" s="11">
        <v>0</v>
      </c>
      <c r="BD38" s="11">
        <v>0</v>
      </c>
      <c r="BE38" s="11">
        <v>0</v>
      </c>
      <c r="BF38" s="11">
        <v>1</v>
      </c>
      <c r="BG38" s="5">
        <f t="shared" si="8"/>
        <v>156.65505052333938</v>
      </c>
      <c r="BH38" s="3">
        <f t="shared" si="9"/>
        <v>40.006335399466558</v>
      </c>
      <c r="BI38" s="3">
        <f t="shared" si="10"/>
        <v>14.993664600533442</v>
      </c>
      <c r="BJ38" s="3">
        <f t="shared" si="12"/>
        <v>0.98141007464034202</v>
      </c>
      <c r="BK38" s="3">
        <f t="shared" si="3"/>
        <v>-0.45609683602320777</v>
      </c>
      <c r="BL38" s="3">
        <f t="shared" si="4"/>
        <v>0.94333424358242735</v>
      </c>
      <c r="BM38" s="3">
        <f t="shared" si="5"/>
        <v>1.5238574454844778</v>
      </c>
      <c r="BN38" s="3">
        <f t="shared" si="6"/>
        <v>65.23857445484478</v>
      </c>
      <c r="BO38" s="2" t="str">
        <f t="shared" si="7"/>
        <v>A</v>
      </c>
    </row>
    <row r="39" spans="1:67" x14ac:dyDescent="0.35">
      <c r="A39" s="15">
        <v>38</v>
      </c>
      <c r="B39" s="10" t="s">
        <v>83</v>
      </c>
      <c r="C39" s="11">
        <v>44</v>
      </c>
      <c r="D39" s="11">
        <v>1</v>
      </c>
      <c r="E39" s="11">
        <v>1</v>
      </c>
      <c r="F39" s="11">
        <v>1</v>
      </c>
      <c r="G39" s="11">
        <v>1</v>
      </c>
      <c r="H39" s="11">
        <v>1</v>
      </c>
      <c r="I39" s="11">
        <v>1</v>
      </c>
      <c r="J39" s="11">
        <v>1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>
        <v>0</v>
      </c>
      <c r="Q39" s="11">
        <v>1</v>
      </c>
      <c r="R39" s="11">
        <v>1</v>
      </c>
      <c r="S39" s="11">
        <v>1</v>
      </c>
      <c r="T39" s="11">
        <v>1</v>
      </c>
      <c r="U39" s="11">
        <v>1</v>
      </c>
      <c r="V39" s="11">
        <v>1</v>
      </c>
      <c r="W39" s="11">
        <v>1</v>
      </c>
      <c r="X39" s="11">
        <v>1</v>
      </c>
      <c r="Y39" s="11">
        <v>1</v>
      </c>
      <c r="Z39" s="11">
        <v>1</v>
      </c>
      <c r="AA39" s="11">
        <v>1</v>
      </c>
      <c r="AB39" s="11">
        <v>0</v>
      </c>
      <c r="AC39" s="11">
        <v>1</v>
      </c>
      <c r="AD39" s="11">
        <v>1</v>
      </c>
      <c r="AE39" s="11">
        <v>1</v>
      </c>
      <c r="AF39" s="11">
        <v>1</v>
      </c>
      <c r="AG39" s="11">
        <v>1</v>
      </c>
      <c r="AH39" s="11">
        <v>1</v>
      </c>
      <c r="AI39" s="11">
        <v>0</v>
      </c>
      <c r="AJ39" s="11">
        <v>1</v>
      </c>
      <c r="AK39" s="11">
        <v>1</v>
      </c>
      <c r="AL39" s="11">
        <v>1</v>
      </c>
      <c r="AM39" s="11">
        <v>0</v>
      </c>
      <c r="AN39" s="11">
        <v>0</v>
      </c>
      <c r="AO39" s="11">
        <v>0</v>
      </c>
      <c r="AP39" s="11">
        <v>0</v>
      </c>
      <c r="AQ39" s="11">
        <v>1</v>
      </c>
      <c r="AR39" s="11">
        <v>1</v>
      </c>
      <c r="AS39" s="11">
        <v>1</v>
      </c>
      <c r="AT39" s="11">
        <v>1</v>
      </c>
      <c r="AU39" s="11">
        <v>1</v>
      </c>
      <c r="AV39" s="11">
        <v>1</v>
      </c>
      <c r="AW39" s="11">
        <v>0</v>
      </c>
      <c r="AX39" s="11">
        <v>0</v>
      </c>
      <c r="AY39" s="11">
        <v>1</v>
      </c>
      <c r="AZ39" s="11">
        <v>1</v>
      </c>
      <c r="BA39" s="11">
        <v>1</v>
      </c>
      <c r="BB39" s="11">
        <v>1</v>
      </c>
      <c r="BC39" s="11">
        <v>1</v>
      </c>
      <c r="BD39" s="11">
        <v>1</v>
      </c>
      <c r="BE39" s="11">
        <v>0</v>
      </c>
      <c r="BF39" s="11">
        <v>0</v>
      </c>
      <c r="BG39" s="5">
        <f t="shared" si="8"/>
        <v>156.40579556703634</v>
      </c>
      <c r="BH39" s="3">
        <f t="shared" si="9"/>
        <v>39.942681036913129</v>
      </c>
      <c r="BI39" s="3">
        <f t="shared" si="10"/>
        <v>15.057318963086871</v>
      </c>
      <c r="BJ39" s="3">
        <f t="shared" si="12"/>
        <v>0.97558126952328938</v>
      </c>
      <c r="BK39" s="3">
        <f t="shared" si="3"/>
        <v>-0.45609683602320777</v>
      </c>
      <c r="BL39" s="3">
        <f t="shared" si="4"/>
        <v>0.94333424358242735</v>
      </c>
      <c r="BM39" s="3">
        <f t="shared" si="5"/>
        <v>1.5176785060929454</v>
      </c>
      <c r="BN39" s="3">
        <f t="shared" si="6"/>
        <v>65.176785060929461</v>
      </c>
      <c r="BO39" s="2" t="str">
        <f t="shared" si="7"/>
        <v>A</v>
      </c>
    </row>
    <row r="40" spans="1:67" x14ac:dyDescent="0.35">
      <c r="A40" s="15">
        <v>39</v>
      </c>
      <c r="B40" s="10" t="s">
        <v>84</v>
      </c>
      <c r="C40" s="11">
        <v>43</v>
      </c>
      <c r="D40" s="11">
        <v>1</v>
      </c>
      <c r="E40" s="11">
        <v>1</v>
      </c>
      <c r="F40" s="11">
        <v>1</v>
      </c>
      <c r="G40" s="11">
        <v>1</v>
      </c>
      <c r="H40" s="11">
        <v>1</v>
      </c>
      <c r="I40" s="11">
        <v>1</v>
      </c>
      <c r="J40" s="11">
        <v>0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11">
        <v>1</v>
      </c>
      <c r="U40" s="11">
        <v>0</v>
      </c>
      <c r="V40" s="11">
        <v>0</v>
      </c>
      <c r="W40" s="11">
        <v>1</v>
      </c>
      <c r="X40" s="11">
        <v>1</v>
      </c>
      <c r="Y40" s="11">
        <v>1</v>
      </c>
      <c r="Z40" s="11">
        <v>1</v>
      </c>
      <c r="AA40" s="11">
        <v>1</v>
      </c>
      <c r="AB40" s="11">
        <v>0</v>
      </c>
      <c r="AC40" s="11">
        <v>1</v>
      </c>
      <c r="AD40" s="11">
        <v>1</v>
      </c>
      <c r="AE40" s="11">
        <v>1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11">
        <v>1</v>
      </c>
      <c r="AL40" s="11">
        <v>1</v>
      </c>
      <c r="AM40" s="11">
        <v>1</v>
      </c>
      <c r="AN40" s="11">
        <v>1</v>
      </c>
      <c r="AO40" s="11">
        <v>1</v>
      </c>
      <c r="AP40" s="11">
        <v>1</v>
      </c>
      <c r="AQ40" s="11">
        <v>1</v>
      </c>
      <c r="AR40" s="11">
        <v>1</v>
      </c>
      <c r="AS40" s="11">
        <v>0</v>
      </c>
      <c r="AT40" s="11">
        <v>1</v>
      </c>
      <c r="AU40" s="11">
        <v>0</v>
      </c>
      <c r="AV40" s="11">
        <v>0</v>
      </c>
      <c r="AW40" s="11">
        <v>0</v>
      </c>
      <c r="AX40" s="11">
        <v>0</v>
      </c>
      <c r="AY40" s="11">
        <v>1</v>
      </c>
      <c r="AZ40" s="11">
        <v>1</v>
      </c>
      <c r="BA40" s="11">
        <v>0</v>
      </c>
      <c r="BB40" s="11">
        <v>1</v>
      </c>
      <c r="BC40" s="11">
        <v>1</v>
      </c>
      <c r="BD40" s="11">
        <v>1</v>
      </c>
      <c r="BE40" s="11">
        <v>0</v>
      </c>
      <c r="BF40" s="11">
        <v>0</v>
      </c>
      <c r="BG40" s="5">
        <f t="shared" si="8"/>
        <v>156.1875058485098</v>
      </c>
      <c r="BH40" s="3">
        <f t="shared" si="9"/>
        <v>39.886934531042726</v>
      </c>
      <c r="BI40" s="3">
        <f t="shared" si="10"/>
        <v>15.113065468957274</v>
      </c>
      <c r="BJ40" s="3">
        <f t="shared" si="12"/>
        <v>0.97048918236663517</v>
      </c>
      <c r="BK40" s="3">
        <f t="shared" si="3"/>
        <v>-0.45609683602320777</v>
      </c>
      <c r="BL40" s="3">
        <f t="shared" si="4"/>
        <v>0.94333424358242735</v>
      </c>
      <c r="BM40" s="3">
        <f t="shared" si="5"/>
        <v>1.5122805390507268</v>
      </c>
      <c r="BN40" s="3">
        <f t="shared" si="6"/>
        <v>65.122805390507267</v>
      </c>
      <c r="BO40" s="2" t="str">
        <f t="shared" si="7"/>
        <v>A</v>
      </c>
    </row>
    <row r="41" spans="1:67" x14ac:dyDescent="0.35">
      <c r="A41" s="1">
        <v>40</v>
      </c>
      <c r="B41" s="10" t="s">
        <v>85</v>
      </c>
      <c r="C41" s="11">
        <v>43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  <c r="I41" s="11">
        <v>1</v>
      </c>
      <c r="J41" s="11">
        <v>1</v>
      </c>
      <c r="K41" s="11">
        <v>1</v>
      </c>
      <c r="L41" s="11">
        <v>1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11">
        <v>1</v>
      </c>
      <c r="U41" s="11">
        <v>1</v>
      </c>
      <c r="V41" s="11">
        <v>1</v>
      </c>
      <c r="W41" s="11">
        <v>1</v>
      </c>
      <c r="X41" s="11">
        <v>0</v>
      </c>
      <c r="Y41" s="11">
        <v>1</v>
      </c>
      <c r="Z41" s="11">
        <v>0</v>
      </c>
      <c r="AA41" s="11">
        <v>1</v>
      </c>
      <c r="AB41" s="11">
        <v>0</v>
      </c>
      <c r="AC41" s="11">
        <v>1</v>
      </c>
      <c r="AD41" s="11">
        <v>1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1">
        <v>1</v>
      </c>
      <c r="AL41" s="11">
        <v>1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1</v>
      </c>
      <c r="AT41" s="11">
        <v>1</v>
      </c>
      <c r="AU41" s="11">
        <v>1</v>
      </c>
      <c r="AV41" s="11">
        <v>1</v>
      </c>
      <c r="AW41" s="11">
        <v>1</v>
      </c>
      <c r="AX41" s="11">
        <v>1</v>
      </c>
      <c r="AY41" s="11">
        <v>1</v>
      </c>
      <c r="AZ41" s="11">
        <v>1</v>
      </c>
      <c r="BA41" s="11">
        <v>1</v>
      </c>
      <c r="BB41" s="11">
        <v>1</v>
      </c>
      <c r="BC41" s="11">
        <v>1</v>
      </c>
      <c r="BD41" s="11">
        <v>0</v>
      </c>
      <c r="BE41" s="11">
        <v>0</v>
      </c>
      <c r="BF41" s="11">
        <v>0</v>
      </c>
      <c r="BG41" s="5">
        <f t="shared" si="8"/>
        <v>154.41705123494452</v>
      </c>
      <c r="BH41" s="3">
        <f t="shared" si="9"/>
        <v>39.43479844705945</v>
      </c>
      <c r="BI41" s="3">
        <f t="shared" si="10"/>
        <v>15.56520155294055</v>
      </c>
      <c r="BJ41" s="3">
        <f t="shared" si="12"/>
        <v>0.92961088289774851</v>
      </c>
      <c r="BK41" s="3">
        <f t="shared" si="3"/>
        <v>-0.45609683602320777</v>
      </c>
      <c r="BL41" s="3">
        <f t="shared" si="4"/>
        <v>0.94333424358242735</v>
      </c>
      <c r="BM41" s="3">
        <f t="shared" si="5"/>
        <v>1.4689466945020055</v>
      </c>
      <c r="BN41" s="3">
        <f t="shared" si="6"/>
        <v>64.689466945020058</v>
      </c>
      <c r="BO41" s="2" t="str">
        <f t="shared" si="7"/>
        <v>B+</v>
      </c>
    </row>
    <row r="42" spans="1:67" x14ac:dyDescent="0.35">
      <c r="A42" s="15">
        <v>41</v>
      </c>
      <c r="B42" s="10" t="s">
        <v>86</v>
      </c>
      <c r="C42" s="11">
        <v>40</v>
      </c>
      <c r="D42" s="11">
        <v>1</v>
      </c>
      <c r="E42" s="11">
        <v>1</v>
      </c>
      <c r="F42" s="11">
        <v>1</v>
      </c>
      <c r="G42" s="11">
        <v>1</v>
      </c>
      <c r="H42" s="11">
        <v>1</v>
      </c>
      <c r="I42" s="11">
        <v>1</v>
      </c>
      <c r="J42" s="11">
        <v>1</v>
      </c>
      <c r="K42" s="11">
        <v>1</v>
      </c>
      <c r="L42" s="11">
        <v>1</v>
      </c>
      <c r="M42" s="11">
        <v>1</v>
      </c>
      <c r="N42" s="11">
        <v>1</v>
      </c>
      <c r="O42" s="11">
        <v>0</v>
      </c>
      <c r="P42" s="11">
        <v>0</v>
      </c>
      <c r="Q42" s="11">
        <v>1</v>
      </c>
      <c r="R42" s="11">
        <v>1</v>
      </c>
      <c r="S42" s="11">
        <v>1</v>
      </c>
      <c r="T42" s="11">
        <v>1</v>
      </c>
      <c r="U42" s="11">
        <v>1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1</v>
      </c>
      <c r="AD42" s="11">
        <v>1</v>
      </c>
      <c r="AE42" s="11">
        <v>0</v>
      </c>
      <c r="AF42" s="11">
        <v>1</v>
      </c>
      <c r="AG42" s="11">
        <v>1</v>
      </c>
      <c r="AH42" s="11">
        <v>0</v>
      </c>
      <c r="AI42" s="11">
        <v>1</v>
      </c>
      <c r="AJ42" s="11">
        <v>1</v>
      </c>
      <c r="AK42" s="11">
        <v>1</v>
      </c>
      <c r="AL42" s="11">
        <v>1</v>
      </c>
      <c r="AM42" s="11">
        <v>1</v>
      </c>
      <c r="AN42" s="11">
        <v>1</v>
      </c>
      <c r="AO42" s="11">
        <v>1</v>
      </c>
      <c r="AP42" s="11">
        <v>1</v>
      </c>
      <c r="AQ42" s="11">
        <v>1</v>
      </c>
      <c r="AR42" s="11">
        <v>1</v>
      </c>
      <c r="AS42" s="11">
        <v>1</v>
      </c>
      <c r="AT42" s="11">
        <v>1</v>
      </c>
      <c r="AU42" s="11">
        <v>1</v>
      </c>
      <c r="AV42" s="11">
        <v>1</v>
      </c>
      <c r="AW42" s="11">
        <v>0</v>
      </c>
      <c r="AX42" s="11">
        <v>0</v>
      </c>
      <c r="AY42" s="11">
        <v>1</v>
      </c>
      <c r="AZ42" s="11">
        <v>1</v>
      </c>
      <c r="BA42" s="11">
        <v>1</v>
      </c>
      <c r="BB42" s="11">
        <v>1</v>
      </c>
      <c r="BC42" s="11">
        <v>1</v>
      </c>
      <c r="BD42" s="11">
        <v>1</v>
      </c>
      <c r="BE42" s="11">
        <v>0</v>
      </c>
      <c r="BF42" s="11">
        <v>0</v>
      </c>
      <c r="BG42" s="5">
        <f t="shared" si="8"/>
        <v>149.4928660155818</v>
      </c>
      <c r="BH42" s="3">
        <f t="shared" si="9"/>
        <v>38.177267299504322</v>
      </c>
      <c r="BI42" s="3">
        <f t="shared" si="10"/>
        <v>16.822732700495678</v>
      </c>
      <c r="BJ42" s="3">
        <f t="shared" si="12"/>
        <v>0.81950913292177452</v>
      </c>
      <c r="BK42" s="3">
        <f t="shared" si="3"/>
        <v>-0.45609683602320777</v>
      </c>
      <c r="BL42" s="3">
        <f t="shared" si="4"/>
        <v>0.94333424358242735</v>
      </c>
      <c r="BM42" s="3">
        <f t="shared" si="5"/>
        <v>1.3522311711071915</v>
      </c>
      <c r="BN42" s="3">
        <f t="shared" si="6"/>
        <v>63.522311711071914</v>
      </c>
      <c r="BO42" s="2" t="str">
        <f t="shared" si="7"/>
        <v>B+</v>
      </c>
    </row>
    <row r="43" spans="1:67" x14ac:dyDescent="0.35">
      <c r="A43" s="15">
        <v>42</v>
      </c>
      <c r="B43" s="10" t="s">
        <v>87</v>
      </c>
      <c r="C43" s="11">
        <v>42</v>
      </c>
      <c r="D43" s="11">
        <v>1</v>
      </c>
      <c r="E43" s="11">
        <v>0</v>
      </c>
      <c r="F43" s="11">
        <v>1</v>
      </c>
      <c r="G43" s="11">
        <v>1</v>
      </c>
      <c r="H43" s="11">
        <v>1</v>
      </c>
      <c r="I43" s="11">
        <v>0</v>
      </c>
      <c r="J43" s="11">
        <v>1</v>
      </c>
      <c r="K43" s="11">
        <v>1</v>
      </c>
      <c r="L43" s="11">
        <v>1</v>
      </c>
      <c r="M43" s="11">
        <v>1</v>
      </c>
      <c r="N43" s="11">
        <v>1</v>
      </c>
      <c r="O43" s="11">
        <v>1</v>
      </c>
      <c r="P43" s="11">
        <v>1</v>
      </c>
      <c r="Q43" s="11">
        <v>1</v>
      </c>
      <c r="R43" s="11">
        <v>1</v>
      </c>
      <c r="S43" s="11">
        <v>1</v>
      </c>
      <c r="T43" s="11">
        <v>1</v>
      </c>
      <c r="U43" s="11">
        <v>1</v>
      </c>
      <c r="V43" s="11">
        <v>1</v>
      </c>
      <c r="W43" s="11">
        <v>1</v>
      </c>
      <c r="X43" s="11">
        <v>1</v>
      </c>
      <c r="Y43" s="11">
        <v>1</v>
      </c>
      <c r="Z43" s="11">
        <v>1</v>
      </c>
      <c r="AA43" s="11">
        <v>1</v>
      </c>
      <c r="AB43" s="11">
        <v>0</v>
      </c>
      <c r="AC43" s="11">
        <v>1</v>
      </c>
      <c r="AD43" s="11">
        <v>1</v>
      </c>
      <c r="AE43" s="11">
        <v>1</v>
      </c>
      <c r="AF43" s="11">
        <v>1</v>
      </c>
      <c r="AG43" s="11">
        <v>1</v>
      </c>
      <c r="AH43" s="11">
        <v>1</v>
      </c>
      <c r="AI43" s="11">
        <v>0</v>
      </c>
      <c r="AJ43" s="11">
        <v>1</v>
      </c>
      <c r="AK43" s="11">
        <v>1</v>
      </c>
      <c r="AL43" s="11">
        <v>1</v>
      </c>
      <c r="AM43" s="11">
        <v>0</v>
      </c>
      <c r="AN43" s="11">
        <v>0</v>
      </c>
      <c r="AO43" s="11">
        <v>0</v>
      </c>
      <c r="AP43" s="11">
        <v>0</v>
      </c>
      <c r="AQ43" s="11">
        <v>1</v>
      </c>
      <c r="AR43" s="11">
        <v>1</v>
      </c>
      <c r="AS43" s="11">
        <v>1</v>
      </c>
      <c r="AT43" s="11">
        <v>1</v>
      </c>
      <c r="AU43" s="11">
        <v>1</v>
      </c>
      <c r="AV43" s="11">
        <v>1</v>
      </c>
      <c r="AW43" s="11">
        <v>0</v>
      </c>
      <c r="AX43" s="11">
        <v>0</v>
      </c>
      <c r="AY43" s="11">
        <v>1</v>
      </c>
      <c r="AZ43" s="11">
        <v>0</v>
      </c>
      <c r="BA43" s="11">
        <v>1</v>
      </c>
      <c r="BB43" s="11">
        <v>1</v>
      </c>
      <c r="BC43" s="11">
        <v>1</v>
      </c>
      <c r="BD43" s="11">
        <v>1</v>
      </c>
      <c r="BE43" s="11">
        <v>0</v>
      </c>
      <c r="BF43" s="11">
        <v>0</v>
      </c>
      <c r="BG43" s="5">
        <f t="shared" si="8"/>
        <v>149.33059015893105</v>
      </c>
      <c r="BH43" s="3">
        <f t="shared" si="9"/>
        <v>38.135825530938817</v>
      </c>
      <c r="BI43" s="3">
        <f t="shared" si="10"/>
        <v>16.864174469061183</v>
      </c>
      <c r="BJ43" s="3">
        <f t="shared" si="12"/>
        <v>0.81596262501776839</v>
      </c>
      <c r="BK43" s="3">
        <f t="shared" si="3"/>
        <v>-0.45609683602320777</v>
      </c>
      <c r="BL43" s="3">
        <f t="shared" si="4"/>
        <v>0.94333424358242735</v>
      </c>
      <c r="BM43" s="3">
        <f t="shared" si="5"/>
        <v>1.3484716257200358</v>
      </c>
      <c r="BN43" s="3">
        <f t="shared" si="6"/>
        <v>63.484716257200361</v>
      </c>
      <c r="BO43" s="2" t="str">
        <f t="shared" si="7"/>
        <v>B+</v>
      </c>
    </row>
    <row r="44" spans="1:67" x14ac:dyDescent="0.35">
      <c r="A44" s="1">
        <v>43</v>
      </c>
      <c r="B44" s="10" t="s">
        <v>88</v>
      </c>
      <c r="C44" s="11">
        <v>43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  <c r="I44" s="11">
        <v>1</v>
      </c>
      <c r="J44" s="11">
        <v>1</v>
      </c>
      <c r="K44" s="11">
        <v>1</v>
      </c>
      <c r="L44" s="11">
        <v>1</v>
      </c>
      <c r="M44" s="11">
        <v>1</v>
      </c>
      <c r="N44" s="11">
        <v>1</v>
      </c>
      <c r="O44" s="11">
        <v>1</v>
      </c>
      <c r="P44" s="11">
        <v>1</v>
      </c>
      <c r="Q44" s="11">
        <v>1</v>
      </c>
      <c r="R44" s="11">
        <v>1</v>
      </c>
      <c r="S44" s="11">
        <v>1</v>
      </c>
      <c r="T44" s="11">
        <v>1</v>
      </c>
      <c r="U44" s="11">
        <v>1</v>
      </c>
      <c r="V44" s="11">
        <v>1</v>
      </c>
      <c r="W44" s="11">
        <v>1</v>
      </c>
      <c r="X44" s="11">
        <v>1</v>
      </c>
      <c r="Y44" s="11">
        <v>1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1">
        <v>1</v>
      </c>
      <c r="AG44" s="11">
        <v>1</v>
      </c>
      <c r="AH44" s="11">
        <v>1</v>
      </c>
      <c r="AI44" s="11">
        <v>0</v>
      </c>
      <c r="AJ44" s="11">
        <v>1</v>
      </c>
      <c r="AK44" s="11">
        <v>1</v>
      </c>
      <c r="AL44" s="11">
        <v>1</v>
      </c>
      <c r="AM44" s="11">
        <v>0</v>
      </c>
      <c r="AN44" s="11">
        <v>0</v>
      </c>
      <c r="AO44" s="11">
        <v>0</v>
      </c>
      <c r="AP44" s="11">
        <v>0</v>
      </c>
      <c r="AQ44" s="11">
        <v>1</v>
      </c>
      <c r="AR44" s="11">
        <v>1</v>
      </c>
      <c r="AS44" s="11">
        <v>0</v>
      </c>
      <c r="AT44" s="11">
        <v>1</v>
      </c>
      <c r="AU44" s="11">
        <v>1</v>
      </c>
      <c r="AV44" s="11">
        <v>1</v>
      </c>
      <c r="AW44" s="11">
        <v>0</v>
      </c>
      <c r="AX44" s="11">
        <v>0</v>
      </c>
      <c r="AY44" s="11">
        <v>0</v>
      </c>
      <c r="AZ44" s="11">
        <v>0</v>
      </c>
      <c r="BA44" s="11">
        <v>1</v>
      </c>
      <c r="BB44" s="11">
        <v>1</v>
      </c>
      <c r="BC44" s="11">
        <v>1</v>
      </c>
      <c r="BD44" s="11">
        <v>1</v>
      </c>
      <c r="BE44" s="11">
        <v>0</v>
      </c>
      <c r="BF44" s="11">
        <v>0</v>
      </c>
      <c r="BG44" s="5">
        <f t="shared" si="8"/>
        <v>149.24376136671165</v>
      </c>
      <c r="BH44" s="3">
        <f t="shared" si="9"/>
        <v>38.113651322241076</v>
      </c>
      <c r="BI44" s="3">
        <f t="shared" si="10"/>
        <v>16.886348677758924</v>
      </c>
      <c r="BJ44" s="3">
        <f t="shared" si="12"/>
        <v>0.81406699541890171</v>
      </c>
      <c r="BK44" s="3">
        <f t="shared" si="3"/>
        <v>-0.45609683602320777</v>
      </c>
      <c r="BL44" s="3">
        <f t="shared" si="4"/>
        <v>0.94333424358242735</v>
      </c>
      <c r="BM44" s="3">
        <f t="shared" si="5"/>
        <v>1.3464621263175043</v>
      </c>
      <c r="BN44" s="3">
        <f t="shared" si="6"/>
        <v>63.464621263175047</v>
      </c>
      <c r="BO44" s="2" t="str">
        <f t="shared" si="7"/>
        <v>B+</v>
      </c>
    </row>
    <row r="45" spans="1:67" x14ac:dyDescent="0.35">
      <c r="A45" s="15">
        <v>44</v>
      </c>
      <c r="B45" s="12">
        <v>3998007</v>
      </c>
      <c r="C45" s="11">
        <v>41</v>
      </c>
      <c r="D45" s="11">
        <v>1</v>
      </c>
      <c r="E45" s="11">
        <v>1</v>
      </c>
      <c r="F45" s="11">
        <v>1</v>
      </c>
      <c r="G45" s="11">
        <v>1</v>
      </c>
      <c r="H45" s="11">
        <v>1</v>
      </c>
      <c r="I45" s="11">
        <v>0</v>
      </c>
      <c r="J45" s="11">
        <v>1</v>
      </c>
      <c r="K45" s="11">
        <v>1</v>
      </c>
      <c r="L45" s="11">
        <v>1</v>
      </c>
      <c r="M45" s="11">
        <v>1</v>
      </c>
      <c r="N45" s="11">
        <v>0</v>
      </c>
      <c r="O45" s="11">
        <v>1</v>
      </c>
      <c r="P45" s="11">
        <v>1</v>
      </c>
      <c r="Q45" s="11">
        <v>1</v>
      </c>
      <c r="R45" s="11">
        <v>0</v>
      </c>
      <c r="S45" s="11">
        <v>1</v>
      </c>
      <c r="T45" s="11">
        <v>1</v>
      </c>
      <c r="U45" s="11">
        <v>1</v>
      </c>
      <c r="V45" s="11">
        <v>1</v>
      </c>
      <c r="W45" s="11">
        <v>0</v>
      </c>
      <c r="X45" s="11">
        <v>1</v>
      </c>
      <c r="Y45" s="11">
        <v>0</v>
      </c>
      <c r="Z45" s="11">
        <v>1</v>
      </c>
      <c r="AA45" s="11">
        <v>0</v>
      </c>
      <c r="AB45" s="11">
        <v>0</v>
      </c>
      <c r="AC45" s="11">
        <v>1</v>
      </c>
      <c r="AD45" s="11">
        <v>1</v>
      </c>
      <c r="AE45" s="11">
        <v>1</v>
      </c>
      <c r="AF45" s="11">
        <v>1</v>
      </c>
      <c r="AG45" s="11">
        <v>1</v>
      </c>
      <c r="AH45" s="11">
        <v>1</v>
      </c>
      <c r="AI45" s="11">
        <v>1</v>
      </c>
      <c r="AJ45" s="11">
        <v>1</v>
      </c>
      <c r="AK45" s="11">
        <v>1</v>
      </c>
      <c r="AL45" s="11">
        <v>1</v>
      </c>
      <c r="AM45" s="11">
        <v>1</v>
      </c>
      <c r="AN45" s="11">
        <v>1</v>
      </c>
      <c r="AO45" s="11">
        <v>0</v>
      </c>
      <c r="AP45" s="11">
        <v>1</v>
      </c>
      <c r="AQ45" s="11">
        <v>1</v>
      </c>
      <c r="AR45" s="11">
        <v>1</v>
      </c>
      <c r="AS45" s="11">
        <v>1</v>
      </c>
      <c r="AT45" s="11">
        <v>1</v>
      </c>
      <c r="AU45" s="11">
        <v>0</v>
      </c>
      <c r="AV45" s="11">
        <v>0</v>
      </c>
      <c r="AW45" s="11">
        <v>1</v>
      </c>
      <c r="AX45" s="11">
        <v>1</v>
      </c>
      <c r="AY45" s="11">
        <v>0</v>
      </c>
      <c r="AZ45" s="11">
        <v>0</v>
      </c>
      <c r="BA45" s="11">
        <v>1</v>
      </c>
      <c r="BB45" s="11">
        <v>1</v>
      </c>
      <c r="BC45" s="11">
        <v>1</v>
      </c>
      <c r="BD45" s="11">
        <v>1</v>
      </c>
      <c r="BE45" s="11">
        <v>0</v>
      </c>
      <c r="BF45" s="11">
        <v>0</v>
      </c>
      <c r="BG45" s="5">
        <f t="shared" si="8"/>
        <v>147.91966964626087</v>
      </c>
      <c r="BH45" s="3">
        <f t="shared" si="9"/>
        <v>37.775506734555925</v>
      </c>
      <c r="BI45" s="3">
        <f t="shared" si="10"/>
        <v>17.224493265444075</v>
      </c>
      <c r="BJ45" s="3">
        <f t="shared" si="12"/>
        <v>0.78532852470184722</v>
      </c>
      <c r="BK45" s="3">
        <f t="shared" si="3"/>
        <v>-0.45609683602320777</v>
      </c>
      <c r="BL45" s="3">
        <f t="shared" si="4"/>
        <v>0.94333424358242735</v>
      </c>
      <c r="BM45" s="3">
        <f t="shared" si="5"/>
        <v>1.3159973457664274</v>
      </c>
      <c r="BN45" s="3">
        <f t="shared" si="6"/>
        <v>63.159973457664272</v>
      </c>
      <c r="BO45" s="2" t="str">
        <f t="shared" si="7"/>
        <v>B+</v>
      </c>
    </row>
    <row r="46" spans="1:67" x14ac:dyDescent="0.35">
      <c r="A46" s="15">
        <v>45</v>
      </c>
      <c r="B46" s="10" t="s">
        <v>89</v>
      </c>
      <c r="C46" s="11">
        <v>42</v>
      </c>
      <c r="D46" s="11">
        <v>1</v>
      </c>
      <c r="E46" s="11">
        <v>1</v>
      </c>
      <c r="F46" s="11">
        <v>1</v>
      </c>
      <c r="G46" s="11">
        <v>1</v>
      </c>
      <c r="H46" s="11">
        <v>1</v>
      </c>
      <c r="I46" s="11">
        <v>1</v>
      </c>
      <c r="J46" s="11">
        <v>1</v>
      </c>
      <c r="K46" s="11">
        <v>1</v>
      </c>
      <c r="L46" s="11">
        <v>1</v>
      </c>
      <c r="M46" s="11">
        <v>1</v>
      </c>
      <c r="N46" s="11">
        <v>1</v>
      </c>
      <c r="O46" s="11">
        <v>1</v>
      </c>
      <c r="P46" s="11">
        <v>1</v>
      </c>
      <c r="Q46" s="11">
        <v>1</v>
      </c>
      <c r="R46" s="11">
        <v>0</v>
      </c>
      <c r="S46" s="11">
        <v>1</v>
      </c>
      <c r="T46" s="11">
        <v>1</v>
      </c>
      <c r="U46" s="11">
        <v>1</v>
      </c>
      <c r="V46" s="11">
        <v>1</v>
      </c>
      <c r="W46" s="11">
        <v>1</v>
      </c>
      <c r="X46" s="11">
        <v>1</v>
      </c>
      <c r="Y46" s="11">
        <v>1</v>
      </c>
      <c r="Z46" s="11">
        <v>1</v>
      </c>
      <c r="AA46" s="11">
        <v>1</v>
      </c>
      <c r="AB46" s="11">
        <v>0</v>
      </c>
      <c r="AC46" s="11">
        <v>1</v>
      </c>
      <c r="AD46" s="11">
        <v>1</v>
      </c>
      <c r="AE46" s="11">
        <v>1</v>
      </c>
      <c r="AF46" s="11">
        <v>1</v>
      </c>
      <c r="AG46" s="11">
        <v>1</v>
      </c>
      <c r="AH46" s="11">
        <v>1</v>
      </c>
      <c r="AI46" s="11">
        <v>0</v>
      </c>
      <c r="AJ46" s="11">
        <v>1</v>
      </c>
      <c r="AK46" s="11">
        <v>1</v>
      </c>
      <c r="AL46" s="11">
        <v>1</v>
      </c>
      <c r="AM46" s="11">
        <v>1</v>
      </c>
      <c r="AN46" s="11">
        <v>0</v>
      </c>
      <c r="AO46" s="11">
        <v>1</v>
      </c>
      <c r="AP46" s="11">
        <v>1</v>
      </c>
      <c r="AQ46" s="11">
        <v>1</v>
      </c>
      <c r="AR46" s="11">
        <v>1</v>
      </c>
      <c r="AS46" s="11">
        <v>1</v>
      </c>
      <c r="AT46" s="11">
        <v>0</v>
      </c>
      <c r="AU46" s="11">
        <v>0</v>
      </c>
      <c r="AV46" s="11">
        <v>0</v>
      </c>
      <c r="AW46" s="11">
        <v>1</v>
      </c>
      <c r="AX46" s="11">
        <v>0</v>
      </c>
      <c r="AY46" s="11">
        <v>0</v>
      </c>
      <c r="AZ46" s="11">
        <v>1</v>
      </c>
      <c r="BA46" s="11">
        <v>0</v>
      </c>
      <c r="BB46" s="11">
        <v>0</v>
      </c>
      <c r="BC46" s="11">
        <v>1</v>
      </c>
      <c r="BD46" s="11">
        <v>1</v>
      </c>
      <c r="BE46" s="11">
        <v>0</v>
      </c>
      <c r="BF46" s="11">
        <v>0</v>
      </c>
      <c r="BG46" s="5">
        <f t="shared" si="8"/>
        <v>147.32495363334607</v>
      </c>
      <c r="BH46" s="3">
        <f t="shared" si="9"/>
        <v>37.623629037663171</v>
      </c>
      <c r="BI46" s="3">
        <f t="shared" si="10"/>
        <v>17.376370962336829</v>
      </c>
      <c r="BJ46" s="3">
        <f t="shared" si="12"/>
        <v>0.77252099222275494</v>
      </c>
      <c r="BK46" s="3">
        <f t="shared" si="3"/>
        <v>-0.45609683602320777</v>
      </c>
      <c r="BL46" s="3">
        <f t="shared" si="4"/>
        <v>0.94333424358242735</v>
      </c>
      <c r="BM46" s="3">
        <f t="shared" si="5"/>
        <v>1.3024204693133328</v>
      </c>
      <c r="BN46" s="3">
        <f t="shared" si="6"/>
        <v>63.024204693133328</v>
      </c>
      <c r="BO46" s="2" t="str">
        <f t="shared" si="7"/>
        <v>B+</v>
      </c>
    </row>
    <row r="47" spans="1:67" x14ac:dyDescent="0.35">
      <c r="A47" s="1">
        <v>46</v>
      </c>
      <c r="B47" s="10" t="s">
        <v>90</v>
      </c>
      <c r="C47" s="11">
        <v>41</v>
      </c>
      <c r="D47" s="11">
        <v>1</v>
      </c>
      <c r="E47" s="11">
        <v>1</v>
      </c>
      <c r="F47" s="11">
        <v>0</v>
      </c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1">
        <v>1</v>
      </c>
      <c r="N47" s="11">
        <v>1</v>
      </c>
      <c r="O47" s="11">
        <v>1</v>
      </c>
      <c r="P47" s="11">
        <v>0</v>
      </c>
      <c r="Q47" s="11">
        <v>1</v>
      </c>
      <c r="R47" s="1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0</v>
      </c>
      <c r="AC47" s="11">
        <v>1</v>
      </c>
      <c r="AD47" s="11">
        <v>0</v>
      </c>
      <c r="AE47" s="11">
        <v>1</v>
      </c>
      <c r="AF47" s="11">
        <v>1</v>
      </c>
      <c r="AG47" s="11">
        <v>1</v>
      </c>
      <c r="AH47" s="11">
        <v>0</v>
      </c>
      <c r="AI47" s="11">
        <v>0</v>
      </c>
      <c r="AJ47" s="11">
        <v>1</v>
      </c>
      <c r="AK47" s="11">
        <v>1</v>
      </c>
      <c r="AL47" s="11">
        <v>1</v>
      </c>
      <c r="AM47" s="11">
        <v>1</v>
      </c>
      <c r="AN47" s="11">
        <v>1</v>
      </c>
      <c r="AO47" s="11">
        <v>1</v>
      </c>
      <c r="AP47" s="11">
        <v>1</v>
      </c>
      <c r="AQ47" s="11">
        <v>0</v>
      </c>
      <c r="AR47" s="11">
        <v>0</v>
      </c>
      <c r="AS47" s="11">
        <v>1</v>
      </c>
      <c r="AT47" s="11">
        <v>1</v>
      </c>
      <c r="AU47" s="11">
        <v>1</v>
      </c>
      <c r="AV47" s="11">
        <v>1</v>
      </c>
      <c r="AW47" s="11">
        <v>0</v>
      </c>
      <c r="AX47" s="11">
        <v>0</v>
      </c>
      <c r="AY47" s="11">
        <v>0</v>
      </c>
      <c r="AZ47" s="11">
        <v>0</v>
      </c>
      <c r="BA47" s="11">
        <v>1</v>
      </c>
      <c r="BB47" s="11">
        <v>1</v>
      </c>
      <c r="BC47" s="11">
        <v>1</v>
      </c>
      <c r="BD47" s="11">
        <v>1</v>
      </c>
      <c r="BE47" s="11">
        <v>0</v>
      </c>
      <c r="BF47" s="11">
        <v>0</v>
      </c>
      <c r="BG47" s="5">
        <f t="shared" si="8"/>
        <v>146.9274516611832</v>
      </c>
      <c r="BH47" s="3">
        <f t="shared" si="9"/>
        <v>37.522115571182702</v>
      </c>
      <c r="BI47" s="3">
        <f t="shared" si="10"/>
        <v>17.477884428817298</v>
      </c>
      <c r="BJ47" s="3">
        <f t="shared" si="12"/>
        <v>0.76399417290469329</v>
      </c>
      <c r="BK47" s="3">
        <f t="shared" si="3"/>
        <v>-0.45609683602320777</v>
      </c>
      <c r="BL47" s="3">
        <f t="shared" si="4"/>
        <v>0.94333424358242735</v>
      </c>
      <c r="BM47" s="3">
        <f t="shared" si="5"/>
        <v>1.2933814469561244</v>
      </c>
      <c r="BN47" s="3">
        <f t="shared" si="6"/>
        <v>62.933814469561241</v>
      </c>
      <c r="BO47" s="2" t="str">
        <f t="shared" si="7"/>
        <v>B+</v>
      </c>
    </row>
    <row r="48" spans="1:67" x14ac:dyDescent="0.35">
      <c r="A48" s="15">
        <v>47</v>
      </c>
      <c r="B48" s="12">
        <v>2000007</v>
      </c>
      <c r="C48" s="11">
        <v>42</v>
      </c>
      <c r="D48" s="11">
        <v>1</v>
      </c>
      <c r="E48" s="11">
        <v>1</v>
      </c>
      <c r="F48" s="11">
        <v>1</v>
      </c>
      <c r="G48" s="11">
        <v>1</v>
      </c>
      <c r="H48" s="11">
        <v>1</v>
      </c>
      <c r="I48" s="11">
        <v>1</v>
      </c>
      <c r="J48" s="11">
        <v>1</v>
      </c>
      <c r="K48" s="11">
        <v>1</v>
      </c>
      <c r="L48" s="11">
        <v>1</v>
      </c>
      <c r="M48" s="11">
        <v>1</v>
      </c>
      <c r="N48" s="11">
        <v>1</v>
      </c>
      <c r="O48" s="11">
        <v>1</v>
      </c>
      <c r="P48" s="11">
        <v>1</v>
      </c>
      <c r="Q48" s="11">
        <v>1</v>
      </c>
      <c r="R48" s="11">
        <v>0</v>
      </c>
      <c r="S48" s="11">
        <v>1</v>
      </c>
      <c r="T48" s="11">
        <v>1</v>
      </c>
      <c r="U48" s="11">
        <v>1</v>
      </c>
      <c r="V48" s="11">
        <v>1</v>
      </c>
      <c r="W48" s="11">
        <v>1</v>
      </c>
      <c r="X48" s="11">
        <v>1</v>
      </c>
      <c r="Y48" s="11">
        <v>1</v>
      </c>
      <c r="Z48" s="11">
        <v>1</v>
      </c>
      <c r="AA48" s="11">
        <v>1</v>
      </c>
      <c r="AB48" s="11">
        <v>0</v>
      </c>
      <c r="AC48" s="11">
        <v>1</v>
      </c>
      <c r="AD48" s="11">
        <v>1</v>
      </c>
      <c r="AE48" s="11">
        <v>1</v>
      </c>
      <c r="AF48" s="11">
        <v>1</v>
      </c>
      <c r="AG48" s="11">
        <v>1</v>
      </c>
      <c r="AH48" s="11">
        <v>1</v>
      </c>
      <c r="AI48" s="11">
        <v>0</v>
      </c>
      <c r="AJ48" s="11">
        <v>1</v>
      </c>
      <c r="AK48" s="11">
        <v>1</v>
      </c>
      <c r="AL48" s="11">
        <v>1</v>
      </c>
      <c r="AM48" s="11">
        <v>0</v>
      </c>
      <c r="AN48" s="11">
        <v>0</v>
      </c>
      <c r="AO48" s="11">
        <v>1</v>
      </c>
      <c r="AP48" s="11">
        <v>0</v>
      </c>
      <c r="AQ48" s="11">
        <v>1</v>
      </c>
      <c r="AR48" s="11">
        <v>1</v>
      </c>
      <c r="AS48" s="11">
        <v>1</v>
      </c>
      <c r="AT48" s="11">
        <v>0</v>
      </c>
      <c r="AU48" s="11">
        <v>1</v>
      </c>
      <c r="AV48" s="11">
        <v>1</v>
      </c>
      <c r="AW48" s="11">
        <v>0</v>
      </c>
      <c r="AX48" s="11">
        <v>0</v>
      </c>
      <c r="AY48" s="11">
        <v>0</v>
      </c>
      <c r="AZ48" s="11">
        <v>0</v>
      </c>
      <c r="BA48" s="11">
        <v>1</v>
      </c>
      <c r="BB48" s="11">
        <v>1</v>
      </c>
      <c r="BC48" s="11">
        <v>1</v>
      </c>
      <c r="BD48" s="11">
        <v>1</v>
      </c>
      <c r="BE48" s="11">
        <v>0</v>
      </c>
      <c r="BF48" s="11">
        <v>0</v>
      </c>
      <c r="BG48" s="5">
        <f t="shared" si="8"/>
        <v>146.85149603226085</v>
      </c>
      <c r="BH48" s="3">
        <f t="shared" si="9"/>
        <v>37.502718134866456</v>
      </c>
      <c r="BI48" s="3">
        <f t="shared" si="10"/>
        <v>17.497281865133544</v>
      </c>
      <c r="BJ48" s="3">
        <f t="shared" si="12"/>
        <v>0.7623678670726054</v>
      </c>
      <c r="BK48" s="3">
        <f t="shared" si="3"/>
        <v>-0.45609683602320777</v>
      </c>
      <c r="BL48" s="3">
        <f t="shared" si="4"/>
        <v>0.94333424358242735</v>
      </c>
      <c r="BM48" s="3">
        <f t="shared" si="5"/>
        <v>1.2916574495043709</v>
      </c>
      <c r="BN48" s="3">
        <f t="shared" si="6"/>
        <v>62.916574495043704</v>
      </c>
      <c r="BO48" s="2" t="str">
        <f t="shared" si="7"/>
        <v>B+</v>
      </c>
    </row>
    <row r="49" spans="1:67" x14ac:dyDescent="0.35">
      <c r="A49" s="15">
        <v>48</v>
      </c>
      <c r="B49" s="10" t="s">
        <v>91</v>
      </c>
      <c r="C49" s="11">
        <v>41</v>
      </c>
      <c r="D49" s="11">
        <v>1</v>
      </c>
      <c r="E49" s="11">
        <v>1</v>
      </c>
      <c r="F49" s="11">
        <v>1</v>
      </c>
      <c r="G49" s="11">
        <v>1</v>
      </c>
      <c r="H49" s="11">
        <v>1</v>
      </c>
      <c r="I49" s="11">
        <v>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  <c r="O49" s="11">
        <v>1</v>
      </c>
      <c r="P49" s="11">
        <v>1</v>
      </c>
      <c r="Q49" s="11">
        <v>1</v>
      </c>
      <c r="R49" s="11">
        <v>0</v>
      </c>
      <c r="S49" s="11">
        <v>1</v>
      </c>
      <c r="T49" s="11">
        <v>1</v>
      </c>
      <c r="U49" s="11">
        <v>1</v>
      </c>
      <c r="V49" s="11">
        <v>1</v>
      </c>
      <c r="W49" s="11">
        <v>1</v>
      </c>
      <c r="X49" s="11">
        <v>1</v>
      </c>
      <c r="Y49" s="11">
        <v>1</v>
      </c>
      <c r="Z49" s="11">
        <v>1</v>
      </c>
      <c r="AA49" s="11">
        <v>0</v>
      </c>
      <c r="AB49" s="11">
        <v>1</v>
      </c>
      <c r="AC49" s="11">
        <v>1</v>
      </c>
      <c r="AD49" s="11">
        <v>1</v>
      </c>
      <c r="AE49" s="11">
        <v>1</v>
      </c>
      <c r="AF49" s="11">
        <v>1</v>
      </c>
      <c r="AG49" s="11">
        <v>0</v>
      </c>
      <c r="AH49" s="11">
        <v>1</v>
      </c>
      <c r="AI49" s="11">
        <v>0</v>
      </c>
      <c r="AJ49" s="11">
        <v>1</v>
      </c>
      <c r="AK49" s="11">
        <v>1</v>
      </c>
      <c r="AL49" s="11">
        <v>1</v>
      </c>
      <c r="AM49" s="11">
        <v>1</v>
      </c>
      <c r="AN49" s="11">
        <v>1</v>
      </c>
      <c r="AO49" s="11">
        <v>0</v>
      </c>
      <c r="AP49" s="11">
        <v>0</v>
      </c>
      <c r="AQ49" s="11">
        <v>1</v>
      </c>
      <c r="AR49" s="11">
        <v>1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1</v>
      </c>
      <c r="BC49" s="11">
        <v>1</v>
      </c>
      <c r="BD49" s="11">
        <v>1</v>
      </c>
      <c r="BE49" s="11">
        <v>1</v>
      </c>
      <c r="BF49" s="11">
        <v>1</v>
      </c>
      <c r="BG49" s="5">
        <f t="shared" si="8"/>
        <v>145.11287697189786</v>
      </c>
      <c r="BH49" s="3">
        <f t="shared" si="9"/>
        <v>37.058712167434052</v>
      </c>
      <c r="BI49" s="3">
        <f t="shared" si="10"/>
        <v>17.941287832565948</v>
      </c>
      <c r="BJ49" s="3">
        <f t="shared" si="12"/>
        <v>0.72539883072611488</v>
      </c>
      <c r="BK49" s="3">
        <f t="shared" si="3"/>
        <v>-0.45609683602320777</v>
      </c>
      <c r="BL49" s="3">
        <f t="shared" si="4"/>
        <v>0.94333424358242735</v>
      </c>
      <c r="BM49" s="3">
        <f t="shared" si="5"/>
        <v>1.2524676961396504</v>
      </c>
      <c r="BN49" s="3">
        <f t="shared" si="6"/>
        <v>62.524676961396501</v>
      </c>
      <c r="BO49" s="2" t="str">
        <f t="shared" si="7"/>
        <v>B+</v>
      </c>
    </row>
    <row r="50" spans="1:67" x14ac:dyDescent="0.35">
      <c r="A50" s="1">
        <v>49</v>
      </c>
      <c r="B50" s="10" t="s">
        <v>92</v>
      </c>
      <c r="C50" s="11">
        <v>42</v>
      </c>
      <c r="D50" s="11">
        <v>1</v>
      </c>
      <c r="E50" s="11">
        <v>1</v>
      </c>
      <c r="F50" s="11">
        <v>1</v>
      </c>
      <c r="G50" s="11">
        <v>1</v>
      </c>
      <c r="H50" s="11">
        <v>1</v>
      </c>
      <c r="I50" s="11">
        <v>1</v>
      </c>
      <c r="J50" s="11">
        <v>1</v>
      </c>
      <c r="K50" s="11">
        <v>1</v>
      </c>
      <c r="L50" s="11">
        <v>1</v>
      </c>
      <c r="M50" s="11">
        <v>1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1</v>
      </c>
      <c r="W50" s="11">
        <v>1</v>
      </c>
      <c r="X50" s="11">
        <v>1</v>
      </c>
      <c r="Y50" s="11">
        <v>0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1">
        <v>1</v>
      </c>
      <c r="AG50" s="11">
        <v>1</v>
      </c>
      <c r="AH50" s="11">
        <v>1</v>
      </c>
      <c r="AI50" s="11">
        <v>1</v>
      </c>
      <c r="AJ50" s="11">
        <v>1</v>
      </c>
      <c r="AK50" s="11">
        <v>1</v>
      </c>
      <c r="AL50" s="11">
        <v>1</v>
      </c>
      <c r="AM50" s="11">
        <v>1</v>
      </c>
      <c r="AN50" s="11">
        <v>0</v>
      </c>
      <c r="AO50" s="11">
        <v>1</v>
      </c>
      <c r="AP50" s="11">
        <v>0</v>
      </c>
      <c r="AQ50" s="11">
        <v>1</v>
      </c>
      <c r="AR50" s="11">
        <v>1</v>
      </c>
      <c r="AS50" s="11">
        <v>0</v>
      </c>
      <c r="AT50" s="11">
        <v>1</v>
      </c>
      <c r="AU50" s="11">
        <v>1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1</v>
      </c>
      <c r="BD50" s="11">
        <v>0</v>
      </c>
      <c r="BE50" s="11">
        <v>0</v>
      </c>
      <c r="BF50" s="11">
        <v>0</v>
      </c>
      <c r="BG50" s="5">
        <f t="shared" si="8"/>
        <v>144.88545766022881</v>
      </c>
      <c r="BH50" s="3">
        <f t="shared" si="9"/>
        <v>37.000634159552703</v>
      </c>
      <c r="BI50" s="3">
        <f t="shared" si="10"/>
        <v>17.999365840447297</v>
      </c>
      <c r="BJ50" s="3">
        <f t="shared" si="12"/>
        <v>0.72059852575544214</v>
      </c>
      <c r="BK50" s="3">
        <f t="shared" si="3"/>
        <v>-0.45609683602320777</v>
      </c>
      <c r="BL50" s="3">
        <f t="shared" si="4"/>
        <v>0.94333424358242735</v>
      </c>
      <c r="BM50" s="3">
        <f t="shared" si="5"/>
        <v>1.24737903853676</v>
      </c>
      <c r="BN50" s="3">
        <f t="shared" si="6"/>
        <v>62.4737903853676</v>
      </c>
      <c r="BO50" s="2" t="str">
        <f t="shared" si="7"/>
        <v>B+</v>
      </c>
    </row>
    <row r="51" spans="1:67" x14ac:dyDescent="0.35">
      <c r="A51" s="15">
        <v>50</v>
      </c>
      <c r="B51" s="10" t="s">
        <v>93</v>
      </c>
      <c r="C51" s="11">
        <v>40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  <c r="I51" s="11">
        <v>1</v>
      </c>
      <c r="J51" s="11">
        <v>1</v>
      </c>
      <c r="K51" s="11">
        <v>1</v>
      </c>
      <c r="L51" s="11">
        <v>1</v>
      </c>
      <c r="M51" s="11">
        <v>1</v>
      </c>
      <c r="N51" s="11">
        <v>1</v>
      </c>
      <c r="O51" s="11">
        <v>0</v>
      </c>
      <c r="P51" s="11">
        <v>0</v>
      </c>
      <c r="Q51" s="11">
        <v>1</v>
      </c>
      <c r="R51" s="11">
        <v>0</v>
      </c>
      <c r="S51" s="11">
        <v>0</v>
      </c>
      <c r="T51" s="11">
        <v>1</v>
      </c>
      <c r="U51" s="11">
        <v>1</v>
      </c>
      <c r="V51" s="11">
        <v>1</v>
      </c>
      <c r="W51" s="11">
        <v>0</v>
      </c>
      <c r="X51" s="11">
        <v>1</v>
      </c>
      <c r="Y51" s="11">
        <v>1</v>
      </c>
      <c r="Z51" s="11">
        <v>1</v>
      </c>
      <c r="AA51" s="11">
        <v>0</v>
      </c>
      <c r="AB51" s="11">
        <v>0</v>
      </c>
      <c r="AC51" s="11">
        <v>1</v>
      </c>
      <c r="AD51" s="11">
        <v>0</v>
      </c>
      <c r="AE51" s="11">
        <v>1</v>
      </c>
      <c r="AF51" s="11">
        <v>1</v>
      </c>
      <c r="AG51" s="11">
        <v>1</v>
      </c>
      <c r="AH51" s="11">
        <v>1</v>
      </c>
      <c r="AI51" s="11">
        <v>0</v>
      </c>
      <c r="AJ51" s="11">
        <v>1</v>
      </c>
      <c r="AK51" s="11">
        <v>1</v>
      </c>
      <c r="AL51" s="11">
        <v>1</v>
      </c>
      <c r="AM51" s="11">
        <v>1</v>
      </c>
      <c r="AN51" s="11">
        <v>1</v>
      </c>
      <c r="AO51" s="11">
        <v>1</v>
      </c>
      <c r="AP51" s="11">
        <v>1</v>
      </c>
      <c r="AQ51" s="11">
        <v>1</v>
      </c>
      <c r="AR51" s="11">
        <v>1</v>
      </c>
      <c r="AS51" s="11">
        <v>1</v>
      </c>
      <c r="AT51" s="11">
        <v>1</v>
      </c>
      <c r="AU51" s="11">
        <v>0</v>
      </c>
      <c r="AV51" s="11">
        <v>0</v>
      </c>
      <c r="AW51" s="11">
        <v>1</v>
      </c>
      <c r="AX51" s="11">
        <v>0</v>
      </c>
      <c r="AY51" s="11">
        <v>0</v>
      </c>
      <c r="AZ51" s="11">
        <v>1</v>
      </c>
      <c r="BA51" s="11">
        <v>1</v>
      </c>
      <c r="BB51" s="11">
        <v>1</v>
      </c>
      <c r="BC51" s="11">
        <v>1</v>
      </c>
      <c r="BD51" s="11">
        <v>1</v>
      </c>
      <c r="BE51" s="11">
        <v>0</v>
      </c>
      <c r="BF51" s="11">
        <v>0</v>
      </c>
      <c r="BG51" s="5">
        <f t="shared" si="8"/>
        <v>144.19423329316217</v>
      </c>
      <c r="BH51" s="3">
        <f t="shared" si="9"/>
        <v>36.824110301734073</v>
      </c>
      <c r="BI51" s="3">
        <f t="shared" si="10"/>
        <v>18.175889698265927</v>
      </c>
      <c r="BJ51" s="3">
        <f t="shared" si="12"/>
        <v>0.70605682790365687</v>
      </c>
      <c r="BK51" s="3">
        <f t="shared" si="3"/>
        <v>-0.45609683602320777</v>
      </c>
      <c r="BL51" s="3">
        <f t="shared" si="4"/>
        <v>0.94333424358242735</v>
      </c>
      <c r="BM51" s="3">
        <f t="shared" si="5"/>
        <v>1.2319638260066164</v>
      </c>
      <c r="BN51" s="3">
        <f t="shared" si="6"/>
        <v>62.319638260066164</v>
      </c>
      <c r="BO51" s="2" t="str">
        <f t="shared" si="7"/>
        <v>B+</v>
      </c>
    </row>
    <row r="52" spans="1:67" x14ac:dyDescent="0.35">
      <c r="A52" s="15">
        <v>51</v>
      </c>
      <c r="B52" s="10" t="s">
        <v>94</v>
      </c>
      <c r="C52" s="11">
        <v>41</v>
      </c>
      <c r="D52" s="11">
        <v>1</v>
      </c>
      <c r="E52" s="11">
        <v>1</v>
      </c>
      <c r="F52" s="11">
        <v>1</v>
      </c>
      <c r="G52" s="11">
        <v>1</v>
      </c>
      <c r="H52" s="11">
        <v>1</v>
      </c>
      <c r="I52" s="11">
        <v>1</v>
      </c>
      <c r="J52" s="11">
        <v>1</v>
      </c>
      <c r="K52" s="11">
        <v>1</v>
      </c>
      <c r="L52" s="11">
        <v>0</v>
      </c>
      <c r="M52" s="11">
        <v>1</v>
      </c>
      <c r="N52" s="11">
        <v>1</v>
      </c>
      <c r="O52" s="11">
        <v>1</v>
      </c>
      <c r="P52" s="11">
        <v>1</v>
      </c>
      <c r="Q52" s="11">
        <v>1</v>
      </c>
      <c r="R52" s="11">
        <v>1</v>
      </c>
      <c r="S52" s="11">
        <v>1</v>
      </c>
      <c r="T52" s="11">
        <v>1</v>
      </c>
      <c r="U52" s="11">
        <v>1</v>
      </c>
      <c r="V52" s="11">
        <v>1</v>
      </c>
      <c r="W52" s="11">
        <v>1</v>
      </c>
      <c r="X52" s="11">
        <v>1</v>
      </c>
      <c r="Y52" s="11">
        <v>1</v>
      </c>
      <c r="Z52" s="11">
        <v>1</v>
      </c>
      <c r="AA52" s="11">
        <v>1</v>
      </c>
      <c r="AB52" s="11">
        <v>0</v>
      </c>
      <c r="AC52" s="11">
        <v>1</v>
      </c>
      <c r="AD52" s="11">
        <v>1</v>
      </c>
      <c r="AE52" s="11">
        <v>1</v>
      </c>
      <c r="AF52" s="11">
        <v>1</v>
      </c>
      <c r="AG52" s="11">
        <v>1</v>
      </c>
      <c r="AH52" s="11">
        <v>1</v>
      </c>
      <c r="AI52" s="11">
        <v>1</v>
      </c>
      <c r="AJ52" s="11">
        <v>1</v>
      </c>
      <c r="AK52" s="11">
        <v>1</v>
      </c>
      <c r="AL52" s="11">
        <v>1</v>
      </c>
      <c r="AM52" s="11">
        <v>0</v>
      </c>
      <c r="AN52" s="11">
        <v>0</v>
      </c>
      <c r="AO52" s="11">
        <v>0</v>
      </c>
      <c r="AP52" s="11">
        <v>0</v>
      </c>
      <c r="AQ52" s="11">
        <v>1</v>
      </c>
      <c r="AR52" s="11">
        <v>1</v>
      </c>
      <c r="AS52" s="11">
        <v>0</v>
      </c>
      <c r="AT52" s="11">
        <v>0</v>
      </c>
      <c r="AU52" s="11">
        <v>0</v>
      </c>
      <c r="AV52" s="11">
        <v>0</v>
      </c>
      <c r="AW52" s="11">
        <v>1</v>
      </c>
      <c r="AX52" s="11">
        <v>1</v>
      </c>
      <c r="AY52" s="11">
        <v>1</v>
      </c>
      <c r="AZ52" s="11">
        <v>1</v>
      </c>
      <c r="BA52" s="11">
        <v>0</v>
      </c>
      <c r="BB52" s="11">
        <v>0</v>
      </c>
      <c r="BC52" s="11">
        <v>1</v>
      </c>
      <c r="BD52" s="11">
        <v>1</v>
      </c>
      <c r="BE52" s="11">
        <v>0</v>
      </c>
      <c r="BF52" s="11">
        <v>0</v>
      </c>
      <c r="BG52" s="5">
        <f t="shared" si="8"/>
        <v>144.04113830377801</v>
      </c>
      <c r="BH52" s="3">
        <f t="shared" si="9"/>
        <v>36.785013129489585</v>
      </c>
      <c r="BI52" s="3">
        <f t="shared" si="10"/>
        <v>18.214986870510415</v>
      </c>
      <c r="BJ52" s="3">
        <f t="shared" si="12"/>
        <v>0.70284580065544622</v>
      </c>
      <c r="BK52" s="3">
        <f t="shared" si="3"/>
        <v>-0.45609683602320777</v>
      </c>
      <c r="BL52" s="3">
        <f t="shared" si="4"/>
        <v>0.94333424358242735</v>
      </c>
      <c r="BM52" s="3">
        <f t="shared" si="5"/>
        <v>1.2285599134803242</v>
      </c>
      <c r="BN52" s="3">
        <f t="shared" si="6"/>
        <v>62.285599134803242</v>
      </c>
      <c r="BO52" s="2" t="str">
        <f t="shared" si="7"/>
        <v>B+</v>
      </c>
    </row>
    <row r="53" spans="1:67" x14ac:dyDescent="0.35">
      <c r="A53" s="1">
        <v>52</v>
      </c>
      <c r="B53" s="12">
        <v>7654321</v>
      </c>
      <c r="C53" s="11">
        <v>41</v>
      </c>
      <c r="D53" s="11">
        <v>1</v>
      </c>
      <c r="E53" s="11">
        <v>1</v>
      </c>
      <c r="F53" s="11">
        <v>1</v>
      </c>
      <c r="G53" s="11">
        <v>1</v>
      </c>
      <c r="H53" s="11">
        <v>1</v>
      </c>
      <c r="I53" s="11">
        <v>1</v>
      </c>
      <c r="J53" s="11">
        <v>1</v>
      </c>
      <c r="K53" s="11">
        <v>1</v>
      </c>
      <c r="L53" s="11">
        <v>1</v>
      </c>
      <c r="M53" s="11">
        <v>1</v>
      </c>
      <c r="N53" s="11">
        <v>1</v>
      </c>
      <c r="O53" s="11">
        <v>1</v>
      </c>
      <c r="P53" s="11">
        <v>1</v>
      </c>
      <c r="Q53" s="11">
        <v>1</v>
      </c>
      <c r="R53" s="11">
        <v>1</v>
      </c>
      <c r="S53" s="11">
        <v>1</v>
      </c>
      <c r="T53" s="11">
        <v>1</v>
      </c>
      <c r="U53" s="11">
        <v>1</v>
      </c>
      <c r="V53" s="11">
        <v>1</v>
      </c>
      <c r="W53" s="11">
        <v>1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0</v>
      </c>
      <c r="AF53" s="11">
        <v>1</v>
      </c>
      <c r="AG53" s="11">
        <v>1</v>
      </c>
      <c r="AH53" s="11">
        <v>0</v>
      </c>
      <c r="AI53" s="11">
        <v>0</v>
      </c>
      <c r="AJ53" s="11">
        <v>1</v>
      </c>
      <c r="AK53" s="11">
        <v>1</v>
      </c>
      <c r="AL53" s="11">
        <v>1</v>
      </c>
      <c r="AM53" s="11">
        <v>0</v>
      </c>
      <c r="AN53" s="11">
        <v>0</v>
      </c>
      <c r="AO53" s="11">
        <v>1</v>
      </c>
      <c r="AP53" s="11">
        <v>1</v>
      </c>
      <c r="AQ53" s="11">
        <v>1</v>
      </c>
      <c r="AR53" s="11">
        <v>1</v>
      </c>
      <c r="AS53" s="11">
        <v>1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1</v>
      </c>
      <c r="BC53" s="11">
        <v>1</v>
      </c>
      <c r="BD53" s="11">
        <v>1</v>
      </c>
      <c r="BE53" s="11">
        <v>0</v>
      </c>
      <c r="BF53" s="11">
        <v>0</v>
      </c>
      <c r="BG53" s="5">
        <f t="shared" si="8"/>
        <v>143.1172462783943</v>
      </c>
      <c r="BH53" s="3">
        <f t="shared" si="9"/>
        <v>36.549070948775231</v>
      </c>
      <c r="BI53" s="3">
        <f t="shared" si="10"/>
        <v>18.450929051224769</v>
      </c>
      <c r="BJ53" s="3">
        <f t="shared" si="12"/>
        <v>0.68354104293587292</v>
      </c>
      <c r="BK53" s="3">
        <f t="shared" si="3"/>
        <v>-0.45609683602320777</v>
      </c>
      <c r="BL53" s="3">
        <f t="shared" si="4"/>
        <v>0.94333424358242735</v>
      </c>
      <c r="BM53" s="3">
        <f t="shared" si="5"/>
        <v>1.2080955257504129</v>
      </c>
      <c r="BN53" s="3">
        <f t="shared" si="6"/>
        <v>62.080955257504129</v>
      </c>
      <c r="BO53" s="2" t="str">
        <f t="shared" si="7"/>
        <v>B+</v>
      </c>
    </row>
    <row r="54" spans="1:67" x14ac:dyDescent="0.35">
      <c r="A54" s="15">
        <v>53</v>
      </c>
      <c r="B54" s="10" t="s">
        <v>95</v>
      </c>
      <c r="C54" s="11">
        <v>41</v>
      </c>
      <c r="D54" s="11">
        <v>0</v>
      </c>
      <c r="E54" s="11">
        <v>1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1</v>
      </c>
      <c r="Q54" s="11">
        <v>1</v>
      </c>
      <c r="R54" s="11">
        <v>1</v>
      </c>
      <c r="S54" s="11">
        <v>1</v>
      </c>
      <c r="T54" s="11">
        <v>1</v>
      </c>
      <c r="U54" s="11">
        <v>0</v>
      </c>
      <c r="V54" s="11">
        <v>1</v>
      </c>
      <c r="W54" s="11">
        <v>1</v>
      </c>
      <c r="X54" s="11">
        <v>1</v>
      </c>
      <c r="Y54" s="11">
        <v>1</v>
      </c>
      <c r="Z54" s="11">
        <v>1</v>
      </c>
      <c r="AA54" s="11">
        <v>1</v>
      </c>
      <c r="AB54" s="11">
        <v>0</v>
      </c>
      <c r="AC54" s="11">
        <v>1</v>
      </c>
      <c r="AD54" s="11">
        <v>1</v>
      </c>
      <c r="AE54" s="11">
        <v>1</v>
      </c>
      <c r="AF54" s="11">
        <v>1</v>
      </c>
      <c r="AG54" s="11">
        <v>1</v>
      </c>
      <c r="AH54" s="11">
        <v>1</v>
      </c>
      <c r="AI54" s="11">
        <v>1</v>
      </c>
      <c r="AJ54" s="11">
        <v>1</v>
      </c>
      <c r="AK54" s="11">
        <v>1</v>
      </c>
      <c r="AL54" s="11">
        <v>1</v>
      </c>
      <c r="AM54" s="11">
        <v>1</v>
      </c>
      <c r="AN54" s="11">
        <v>1</v>
      </c>
      <c r="AO54" s="11">
        <v>0</v>
      </c>
      <c r="AP54" s="11">
        <v>0</v>
      </c>
      <c r="AQ54" s="11">
        <v>0</v>
      </c>
      <c r="AR54" s="11">
        <v>0</v>
      </c>
      <c r="AS54" s="11">
        <v>1</v>
      </c>
      <c r="AT54" s="11">
        <v>1</v>
      </c>
      <c r="AU54" s="11">
        <v>0</v>
      </c>
      <c r="AV54" s="11">
        <v>0</v>
      </c>
      <c r="AW54" s="11">
        <v>0</v>
      </c>
      <c r="AX54" s="11">
        <v>0</v>
      </c>
      <c r="AY54" s="11">
        <v>1</v>
      </c>
      <c r="AZ54" s="11">
        <v>0</v>
      </c>
      <c r="BA54" s="11">
        <v>1</v>
      </c>
      <c r="BB54" s="11">
        <v>1</v>
      </c>
      <c r="BC54" s="11">
        <v>1</v>
      </c>
      <c r="BD54" s="11">
        <v>1</v>
      </c>
      <c r="BE54" s="11">
        <v>0</v>
      </c>
      <c r="BF54" s="11">
        <v>0</v>
      </c>
      <c r="BG54" s="5">
        <f t="shared" si="8"/>
        <v>142.48965839490279</v>
      </c>
      <c r="BH54" s="3">
        <f t="shared" si="9"/>
        <v>36.388798482131314</v>
      </c>
      <c r="BI54" s="3">
        <f t="shared" si="10"/>
        <v>18.611201517868686</v>
      </c>
      <c r="BJ54" s="3">
        <f t="shared" si="12"/>
        <v>0.67049736168185781</v>
      </c>
      <c r="BK54" s="3">
        <f t="shared" si="3"/>
        <v>-0.45609683602320777</v>
      </c>
      <c r="BL54" s="3">
        <f t="shared" si="4"/>
        <v>0.94333424358242735</v>
      </c>
      <c r="BM54" s="3">
        <f t="shared" si="5"/>
        <v>1.194268315148495</v>
      </c>
      <c r="BN54" s="3">
        <f t="shared" si="6"/>
        <v>61.94268315148495</v>
      </c>
      <c r="BO54" s="2" t="str">
        <f t="shared" si="7"/>
        <v>B+</v>
      </c>
    </row>
    <row r="55" spans="1:67" x14ac:dyDescent="0.35">
      <c r="A55" s="15">
        <v>54</v>
      </c>
      <c r="B55" s="12">
        <v>1006005</v>
      </c>
      <c r="C55" s="11">
        <v>41</v>
      </c>
      <c r="D55" s="11">
        <v>1</v>
      </c>
      <c r="E55" s="11">
        <v>1</v>
      </c>
      <c r="F55" s="11">
        <v>1</v>
      </c>
      <c r="G55" s="11">
        <v>1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11">
        <v>1</v>
      </c>
      <c r="N55" s="11">
        <v>1</v>
      </c>
      <c r="O55" s="11">
        <v>1</v>
      </c>
      <c r="P55" s="11">
        <v>1</v>
      </c>
      <c r="Q55" s="11">
        <v>1</v>
      </c>
      <c r="R55" s="11">
        <v>1</v>
      </c>
      <c r="S55" s="11">
        <v>1</v>
      </c>
      <c r="T55" s="11">
        <v>1</v>
      </c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0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1</v>
      </c>
      <c r="AK55" s="11">
        <v>1</v>
      </c>
      <c r="AL55" s="11">
        <v>1</v>
      </c>
      <c r="AM55" s="11">
        <v>1</v>
      </c>
      <c r="AN55" s="11">
        <v>1</v>
      </c>
      <c r="AO55" s="11">
        <v>0</v>
      </c>
      <c r="AP55" s="11">
        <v>0</v>
      </c>
      <c r="AQ55" s="11">
        <v>1</v>
      </c>
      <c r="AR55" s="11">
        <v>1</v>
      </c>
      <c r="AS55" s="11">
        <v>0</v>
      </c>
      <c r="AT55" s="11">
        <v>0</v>
      </c>
      <c r="AU55" s="11">
        <v>1</v>
      </c>
      <c r="AV55" s="11">
        <v>1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1</v>
      </c>
      <c r="BE55" s="11">
        <v>0</v>
      </c>
      <c r="BF55" s="11">
        <v>0</v>
      </c>
      <c r="BG55" s="5">
        <f t="shared" si="8"/>
        <v>142.03565471504956</v>
      </c>
      <c r="BH55" s="3">
        <f t="shared" si="9"/>
        <v>36.272855693002448</v>
      </c>
      <c r="BI55" s="3">
        <f t="shared" si="10"/>
        <v>18.727144306997552</v>
      </c>
      <c r="BJ55" s="3">
        <f t="shared" si="12"/>
        <v>0.66109564591945058</v>
      </c>
      <c r="BK55" s="3">
        <f t="shared" si="3"/>
        <v>-0.45609683602320777</v>
      </c>
      <c r="BL55" s="3">
        <f t="shared" si="4"/>
        <v>0.94333424358242735</v>
      </c>
      <c r="BM55" s="3">
        <f t="shared" si="5"/>
        <v>1.1843018416250672</v>
      </c>
      <c r="BN55" s="3">
        <f t="shared" si="6"/>
        <v>61.843018416250672</v>
      </c>
      <c r="BO55" s="2" t="str">
        <f t="shared" si="7"/>
        <v>B+</v>
      </c>
    </row>
    <row r="56" spans="1:67" x14ac:dyDescent="0.35">
      <c r="A56" s="1">
        <v>55</v>
      </c>
      <c r="B56" s="10" t="s">
        <v>96</v>
      </c>
      <c r="C56" s="11">
        <v>40</v>
      </c>
      <c r="D56" s="11">
        <v>1</v>
      </c>
      <c r="E56" s="11">
        <v>1</v>
      </c>
      <c r="F56" s="11">
        <v>1</v>
      </c>
      <c r="G56" s="11">
        <v>1</v>
      </c>
      <c r="H56" s="11">
        <v>1</v>
      </c>
      <c r="I56" s="11">
        <v>1</v>
      </c>
      <c r="J56" s="11">
        <v>1</v>
      </c>
      <c r="K56" s="11">
        <v>1</v>
      </c>
      <c r="L56" s="11">
        <v>0</v>
      </c>
      <c r="M56" s="11">
        <v>1</v>
      </c>
      <c r="N56" s="11">
        <v>1</v>
      </c>
      <c r="O56" s="11">
        <v>1</v>
      </c>
      <c r="P56" s="11">
        <v>1</v>
      </c>
      <c r="Q56" s="11">
        <v>1</v>
      </c>
      <c r="R56" s="11">
        <v>0</v>
      </c>
      <c r="S56" s="11">
        <v>1</v>
      </c>
      <c r="T56" s="11">
        <v>1</v>
      </c>
      <c r="U56" s="11">
        <v>1</v>
      </c>
      <c r="V56" s="11">
        <v>1</v>
      </c>
      <c r="W56" s="11">
        <v>1</v>
      </c>
      <c r="X56" s="11">
        <v>1</v>
      </c>
      <c r="Y56" s="11">
        <v>1</v>
      </c>
      <c r="Z56" s="11">
        <v>1</v>
      </c>
      <c r="AA56" s="11">
        <v>0</v>
      </c>
      <c r="AB56" s="11">
        <v>0</v>
      </c>
      <c r="AC56" s="11">
        <v>1</v>
      </c>
      <c r="AD56" s="11">
        <v>1</v>
      </c>
      <c r="AE56" s="11">
        <v>1</v>
      </c>
      <c r="AF56" s="11">
        <v>1</v>
      </c>
      <c r="AG56" s="11">
        <v>0</v>
      </c>
      <c r="AH56" s="11">
        <v>1</v>
      </c>
      <c r="AI56" s="11">
        <v>0</v>
      </c>
      <c r="AJ56" s="11">
        <v>1</v>
      </c>
      <c r="AK56" s="11">
        <v>1</v>
      </c>
      <c r="AL56" s="11">
        <v>1</v>
      </c>
      <c r="AM56" s="11">
        <v>0</v>
      </c>
      <c r="AN56" s="11">
        <v>0</v>
      </c>
      <c r="AO56" s="11">
        <v>0</v>
      </c>
      <c r="AP56" s="11">
        <v>0</v>
      </c>
      <c r="AQ56" s="11">
        <v>1</v>
      </c>
      <c r="AR56" s="11">
        <v>1</v>
      </c>
      <c r="AS56" s="11">
        <v>1</v>
      </c>
      <c r="AT56" s="11">
        <v>1</v>
      </c>
      <c r="AU56" s="11">
        <v>0</v>
      </c>
      <c r="AV56" s="11">
        <v>0</v>
      </c>
      <c r="AW56" s="11">
        <v>1</v>
      </c>
      <c r="AX56" s="11">
        <v>1</v>
      </c>
      <c r="AY56" s="11">
        <v>0</v>
      </c>
      <c r="AZ56" s="11">
        <v>0</v>
      </c>
      <c r="BA56" s="11">
        <v>1</v>
      </c>
      <c r="BB56" s="11">
        <v>1</v>
      </c>
      <c r="BC56" s="11">
        <v>1</v>
      </c>
      <c r="BD56" s="11">
        <v>1</v>
      </c>
      <c r="BE56" s="11">
        <v>0</v>
      </c>
      <c r="BF56" s="11">
        <v>1</v>
      </c>
      <c r="BG56" s="5">
        <f t="shared" si="8"/>
        <v>141.44342295128394</v>
      </c>
      <c r="BH56" s="3">
        <f t="shared" si="9"/>
        <v>36.121612419987798</v>
      </c>
      <c r="BI56" s="3">
        <f t="shared" si="10"/>
        <v>18.878387580012202</v>
      </c>
      <c r="BJ56" s="3">
        <f t="shared" si="12"/>
        <v>0.64887361472517568</v>
      </c>
      <c r="BK56" s="3">
        <f t="shared" si="3"/>
        <v>-0.45609683602320777</v>
      </c>
      <c r="BL56" s="3">
        <f t="shared" si="4"/>
        <v>0.94333424358242735</v>
      </c>
      <c r="BM56" s="3">
        <f t="shared" si="5"/>
        <v>1.1713456373131572</v>
      </c>
      <c r="BN56" s="3">
        <f t="shared" si="6"/>
        <v>61.713456373131571</v>
      </c>
      <c r="BO56" s="2" t="str">
        <f t="shared" si="7"/>
        <v>B+</v>
      </c>
    </row>
    <row r="57" spans="1:67" x14ac:dyDescent="0.35">
      <c r="A57" s="15">
        <v>56</v>
      </c>
      <c r="B57" s="10" t="s">
        <v>97</v>
      </c>
      <c r="C57" s="11">
        <v>41</v>
      </c>
      <c r="D57" s="11">
        <v>1</v>
      </c>
      <c r="E57" s="11">
        <v>1</v>
      </c>
      <c r="F57" s="11">
        <v>1</v>
      </c>
      <c r="G57" s="11">
        <v>1</v>
      </c>
      <c r="H57" s="11">
        <v>1</v>
      </c>
      <c r="I57" s="11">
        <v>1</v>
      </c>
      <c r="J57" s="11">
        <v>1</v>
      </c>
      <c r="K57" s="11">
        <v>1</v>
      </c>
      <c r="L57" s="11">
        <v>1</v>
      </c>
      <c r="M57" s="11">
        <v>1</v>
      </c>
      <c r="N57" s="11">
        <v>1</v>
      </c>
      <c r="O57" s="11">
        <v>1</v>
      </c>
      <c r="P57" s="11">
        <v>1</v>
      </c>
      <c r="Q57" s="11">
        <v>1</v>
      </c>
      <c r="R57" s="11">
        <v>1</v>
      </c>
      <c r="S57" s="11">
        <v>1</v>
      </c>
      <c r="T57" s="11">
        <v>1</v>
      </c>
      <c r="U57" s="11">
        <v>1</v>
      </c>
      <c r="V57" s="11">
        <v>1</v>
      </c>
      <c r="W57" s="11">
        <v>1</v>
      </c>
      <c r="X57" s="11">
        <v>1</v>
      </c>
      <c r="Y57" s="11">
        <v>1</v>
      </c>
      <c r="Z57" s="11">
        <v>1</v>
      </c>
      <c r="AA57" s="11">
        <v>1</v>
      </c>
      <c r="AB57" s="11">
        <v>0</v>
      </c>
      <c r="AC57" s="11">
        <v>1</v>
      </c>
      <c r="AD57" s="11">
        <v>1</v>
      </c>
      <c r="AE57" s="11">
        <v>1</v>
      </c>
      <c r="AF57" s="11">
        <v>1</v>
      </c>
      <c r="AG57" s="11">
        <v>1</v>
      </c>
      <c r="AH57" s="11">
        <v>0</v>
      </c>
      <c r="AI57" s="11">
        <v>1</v>
      </c>
      <c r="AJ57" s="11">
        <v>1</v>
      </c>
      <c r="AK57" s="11">
        <v>1</v>
      </c>
      <c r="AL57" s="11">
        <v>1</v>
      </c>
      <c r="AM57" s="11">
        <v>0</v>
      </c>
      <c r="AN57" s="11">
        <v>0</v>
      </c>
      <c r="AO57" s="11">
        <v>0</v>
      </c>
      <c r="AP57" s="11">
        <v>0</v>
      </c>
      <c r="AQ57" s="11">
        <v>1</v>
      </c>
      <c r="AR57" s="11">
        <v>1</v>
      </c>
      <c r="AS57" s="11">
        <v>0</v>
      </c>
      <c r="AT57" s="11">
        <v>0</v>
      </c>
      <c r="AU57" s="11">
        <v>0</v>
      </c>
      <c r="AV57" s="11">
        <v>1</v>
      </c>
      <c r="AW57" s="11">
        <v>0</v>
      </c>
      <c r="AX57" s="11">
        <v>0</v>
      </c>
      <c r="AY57" s="11">
        <v>0</v>
      </c>
      <c r="AZ57" s="11">
        <v>1</v>
      </c>
      <c r="BA57" s="11">
        <v>1</v>
      </c>
      <c r="BB57" s="11">
        <v>1</v>
      </c>
      <c r="BC57" s="11">
        <v>1</v>
      </c>
      <c r="BD57" s="11">
        <v>1</v>
      </c>
      <c r="BE57" s="11">
        <v>0</v>
      </c>
      <c r="BF57" s="11">
        <v>0</v>
      </c>
      <c r="BG57" s="5">
        <f t="shared" si="8"/>
        <v>140.1971022499153</v>
      </c>
      <c r="BH57" s="3">
        <f t="shared" si="9"/>
        <v>35.803328880276297</v>
      </c>
      <c r="BI57" s="3">
        <f t="shared" si="10"/>
        <v>19.196671119723703</v>
      </c>
      <c r="BJ57" s="3">
        <f t="shared" si="12"/>
        <v>0.62330398974557977</v>
      </c>
      <c r="BK57" s="3">
        <f t="shared" si="3"/>
        <v>-0.45609683602320777</v>
      </c>
      <c r="BL57" s="3">
        <f t="shared" si="4"/>
        <v>0.94333424358242735</v>
      </c>
      <c r="BM57" s="3">
        <f t="shared" si="5"/>
        <v>1.1442400539490971</v>
      </c>
      <c r="BN57" s="3">
        <f t="shared" si="6"/>
        <v>61.442400539490976</v>
      </c>
      <c r="BO57" s="2" t="str">
        <f t="shared" si="7"/>
        <v>B+</v>
      </c>
    </row>
    <row r="58" spans="1:67" x14ac:dyDescent="0.35">
      <c r="A58" s="15">
        <v>57</v>
      </c>
      <c r="B58" s="10" t="s">
        <v>98</v>
      </c>
      <c r="C58" s="11">
        <v>40</v>
      </c>
      <c r="D58" s="11">
        <v>1</v>
      </c>
      <c r="E58" s="11">
        <v>1</v>
      </c>
      <c r="F58" s="11">
        <v>1</v>
      </c>
      <c r="G58" s="11">
        <v>1</v>
      </c>
      <c r="H58" s="11">
        <v>1</v>
      </c>
      <c r="I58" s="11">
        <v>1</v>
      </c>
      <c r="J58" s="11">
        <v>1</v>
      </c>
      <c r="K58" s="11">
        <v>1</v>
      </c>
      <c r="L58" s="11">
        <v>1</v>
      </c>
      <c r="M58" s="11">
        <v>1</v>
      </c>
      <c r="N58" s="11">
        <v>1</v>
      </c>
      <c r="O58" s="11">
        <v>1</v>
      </c>
      <c r="P58" s="11">
        <v>0</v>
      </c>
      <c r="Q58" s="11">
        <v>1</v>
      </c>
      <c r="R58" s="11">
        <v>0</v>
      </c>
      <c r="S58" s="11">
        <v>1</v>
      </c>
      <c r="T58" s="11">
        <v>1</v>
      </c>
      <c r="U58" s="11">
        <v>1</v>
      </c>
      <c r="V58" s="11">
        <v>1</v>
      </c>
      <c r="W58" s="11">
        <v>1</v>
      </c>
      <c r="X58" s="11">
        <v>1</v>
      </c>
      <c r="Y58" s="11">
        <v>1</v>
      </c>
      <c r="Z58" s="11">
        <v>0</v>
      </c>
      <c r="AA58" s="11">
        <v>1</v>
      </c>
      <c r="AB58" s="11">
        <v>0</v>
      </c>
      <c r="AC58" s="11">
        <v>1</v>
      </c>
      <c r="AD58" s="11">
        <v>1</v>
      </c>
      <c r="AE58" s="11">
        <v>1</v>
      </c>
      <c r="AF58" s="11">
        <v>1</v>
      </c>
      <c r="AG58" s="11">
        <v>1</v>
      </c>
      <c r="AH58" s="11">
        <v>1</v>
      </c>
      <c r="AI58" s="11">
        <v>1</v>
      </c>
      <c r="AJ58" s="11">
        <v>1</v>
      </c>
      <c r="AK58" s="11">
        <v>1</v>
      </c>
      <c r="AL58" s="11">
        <v>1</v>
      </c>
      <c r="AM58" s="11">
        <v>1</v>
      </c>
      <c r="AN58" s="11">
        <v>1</v>
      </c>
      <c r="AO58" s="11">
        <v>1</v>
      </c>
      <c r="AP58" s="11">
        <v>1</v>
      </c>
      <c r="AQ58" s="11">
        <v>1</v>
      </c>
      <c r="AR58" s="11">
        <v>0</v>
      </c>
      <c r="AS58" s="11">
        <v>1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1</v>
      </c>
      <c r="AZ58" s="11">
        <v>0</v>
      </c>
      <c r="BA58" s="11">
        <v>0</v>
      </c>
      <c r="BB58" s="11">
        <v>0</v>
      </c>
      <c r="BC58" s="11">
        <v>1</v>
      </c>
      <c r="BD58" s="11">
        <v>1</v>
      </c>
      <c r="BE58" s="11">
        <v>0</v>
      </c>
      <c r="BF58" s="11">
        <v>0</v>
      </c>
      <c r="BG58" s="5">
        <f t="shared" si="8"/>
        <v>140.02599997110323</v>
      </c>
      <c r="BH58" s="3">
        <f t="shared" si="9"/>
        <v>35.759633033057192</v>
      </c>
      <c r="BI58" s="3">
        <f t="shared" si="10"/>
        <v>19.240366966942808</v>
      </c>
      <c r="BJ58" s="3">
        <f t="shared" si="12"/>
        <v>0.61980917013194659</v>
      </c>
      <c r="BK58" s="3">
        <f t="shared" si="3"/>
        <v>-0.45609683602320777</v>
      </c>
      <c r="BL58" s="3">
        <f t="shared" si="4"/>
        <v>0.94333424358242735</v>
      </c>
      <c r="BM58" s="3">
        <f t="shared" si="5"/>
        <v>1.1405353017497484</v>
      </c>
      <c r="BN58" s="3">
        <f t="shared" si="6"/>
        <v>61.405353017497482</v>
      </c>
      <c r="BO58" s="2" t="str">
        <f t="shared" si="7"/>
        <v>B+</v>
      </c>
    </row>
    <row r="59" spans="1:67" x14ac:dyDescent="0.35">
      <c r="A59" s="1">
        <v>58</v>
      </c>
      <c r="B59" s="10" t="s">
        <v>99</v>
      </c>
      <c r="C59" s="11">
        <v>40</v>
      </c>
      <c r="D59" s="11">
        <v>1</v>
      </c>
      <c r="E59" s="11">
        <v>1</v>
      </c>
      <c r="F59" s="11">
        <v>1</v>
      </c>
      <c r="G59" s="11">
        <v>1</v>
      </c>
      <c r="H59" s="11">
        <v>1</v>
      </c>
      <c r="I59" s="11">
        <v>1</v>
      </c>
      <c r="J59" s="11">
        <v>1</v>
      </c>
      <c r="K59" s="11">
        <v>1</v>
      </c>
      <c r="L59" s="11">
        <v>1</v>
      </c>
      <c r="M59" s="11">
        <v>1</v>
      </c>
      <c r="N59" s="11">
        <v>1</v>
      </c>
      <c r="O59" s="11">
        <v>1</v>
      </c>
      <c r="P59" s="11">
        <v>1</v>
      </c>
      <c r="Q59" s="11">
        <v>1</v>
      </c>
      <c r="R59" s="11">
        <v>1</v>
      </c>
      <c r="S59" s="11">
        <v>1</v>
      </c>
      <c r="T59" s="11">
        <v>1</v>
      </c>
      <c r="U59" s="11">
        <v>1</v>
      </c>
      <c r="V59" s="11">
        <v>1</v>
      </c>
      <c r="W59" s="11">
        <v>1</v>
      </c>
      <c r="X59" s="11">
        <v>1</v>
      </c>
      <c r="Y59" s="11">
        <v>1</v>
      </c>
      <c r="Z59" s="11">
        <v>0</v>
      </c>
      <c r="AA59" s="11">
        <v>1</v>
      </c>
      <c r="AB59" s="11">
        <v>0</v>
      </c>
      <c r="AC59" s="11">
        <v>1</v>
      </c>
      <c r="AD59" s="11">
        <v>0</v>
      </c>
      <c r="AE59" s="11">
        <v>1</v>
      </c>
      <c r="AF59" s="11">
        <v>1</v>
      </c>
      <c r="AG59" s="11">
        <v>0</v>
      </c>
      <c r="AH59" s="11">
        <v>0</v>
      </c>
      <c r="AI59" s="11">
        <v>0</v>
      </c>
      <c r="AJ59" s="11">
        <v>1</v>
      </c>
      <c r="AK59" s="11">
        <v>1</v>
      </c>
      <c r="AL59" s="11">
        <v>1</v>
      </c>
      <c r="AM59" s="11">
        <v>0</v>
      </c>
      <c r="AN59" s="11">
        <v>0</v>
      </c>
      <c r="AO59" s="11">
        <v>1</v>
      </c>
      <c r="AP59" s="11">
        <v>0</v>
      </c>
      <c r="AQ59" s="11">
        <v>1</v>
      </c>
      <c r="AR59" s="11">
        <v>1</v>
      </c>
      <c r="AS59" s="11">
        <v>1</v>
      </c>
      <c r="AT59" s="11">
        <v>1</v>
      </c>
      <c r="AU59" s="11">
        <v>1</v>
      </c>
      <c r="AV59" s="11">
        <v>1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1</v>
      </c>
      <c r="BC59" s="11">
        <v>1</v>
      </c>
      <c r="BD59" s="11">
        <v>1</v>
      </c>
      <c r="BE59" s="11">
        <v>0</v>
      </c>
      <c r="BF59" s="11">
        <v>0</v>
      </c>
      <c r="BG59" s="5">
        <f t="shared" si="8"/>
        <v>139.86589215386527</v>
      </c>
      <c r="BH59" s="3">
        <f t="shared" si="9"/>
        <v>35.718744935194408</v>
      </c>
      <c r="BI59" s="3">
        <f t="shared" si="10"/>
        <v>19.281255064805592</v>
      </c>
      <c r="BJ59" s="3">
        <f t="shared" si="12"/>
        <v>0.6165422354122605</v>
      </c>
      <c r="BK59" s="3">
        <f t="shared" si="3"/>
        <v>-0.45609683602320777</v>
      </c>
      <c r="BL59" s="3">
        <f t="shared" si="4"/>
        <v>0.94333424358242735</v>
      </c>
      <c r="BM59" s="3">
        <f t="shared" si="5"/>
        <v>1.1370721234098213</v>
      </c>
      <c r="BN59" s="3">
        <f t="shared" si="6"/>
        <v>61.370721234098212</v>
      </c>
      <c r="BO59" s="2" t="str">
        <f t="shared" si="7"/>
        <v>B+</v>
      </c>
    </row>
    <row r="60" spans="1:67" x14ac:dyDescent="0.35">
      <c r="A60" s="15">
        <v>59</v>
      </c>
      <c r="B60" s="10" t="s">
        <v>100</v>
      </c>
      <c r="C60" s="11">
        <v>40</v>
      </c>
      <c r="D60" s="11">
        <v>1</v>
      </c>
      <c r="E60" s="11">
        <v>1</v>
      </c>
      <c r="F60" s="11">
        <v>1</v>
      </c>
      <c r="G60" s="11">
        <v>1</v>
      </c>
      <c r="H60" s="11">
        <v>1</v>
      </c>
      <c r="I60" s="11">
        <v>1</v>
      </c>
      <c r="J60" s="11">
        <v>1</v>
      </c>
      <c r="K60" s="11">
        <v>1</v>
      </c>
      <c r="L60" s="11">
        <v>1</v>
      </c>
      <c r="M60" s="11">
        <v>1</v>
      </c>
      <c r="N60" s="11">
        <v>1</v>
      </c>
      <c r="O60" s="11">
        <v>1</v>
      </c>
      <c r="P60" s="11">
        <v>1</v>
      </c>
      <c r="Q60" s="11">
        <v>1</v>
      </c>
      <c r="R60" s="11">
        <v>1</v>
      </c>
      <c r="S60" s="11">
        <v>1</v>
      </c>
      <c r="T60" s="11">
        <v>1</v>
      </c>
      <c r="U60" s="11">
        <v>1</v>
      </c>
      <c r="V60" s="11">
        <v>1</v>
      </c>
      <c r="W60" s="11">
        <v>1</v>
      </c>
      <c r="X60" s="11">
        <v>1</v>
      </c>
      <c r="Y60" s="11">
        <v>1</v>
      </c>
      <c r="Z60" s="11">
        <v>1</v>
      </c>
      <c r="AA60" s="11">
        <v>0</v>
      </c>
      <c r="AB60" s="11">
        <v>0</v>
      </c>
      <c r="AC60" s="11">
        <v>1</v>
      </c>
      <c r="AD60" s="11">
        <v>1</v>
      </c>
      <c r="AE60" s="11">
        <v>1</v>
      </c>
      <c r="AF60" s="11">
        <v>1</v>
      </c>
      <c r="AG60" s="11">
        <v>1</v>
      </c>
      <c r="AH60" s="11">
        <v>1</v>
      </c>
      <c r="AI60" s="11">
        <v>1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1</v>
      </c>
      <c r="AQ60" s="11">
        <v>1</v>
      </c>
      <c r="AR60" s="11">
        <v>1</v>
      </c>
      <c r="AS60" s="11">
        <v>1</v>
      </c>
      <c r="AT60" s="11">
        <v>0</v>
      </c>
      <c r="AU60" s="11">
        <v>1</v>
      </c>
      <c r="AV60" s="11">
        <v>1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1</v>
      </c>
      <c r="BC60" s="11">
        <v>1</v>
      </c>
      <c r="BD60" s="11">
        <v>1</v>
      </c>
      <c r="BE60" s="11">
        <v>0</v>
      </c>
      <c r="BF60" s="11">
        <v>0</v>
      </c>
      <c r="BG60" s="5">
        <f t="shared" si="8"/>
        <v>138.8104315953623</v>
      </c>
      <c r="BH60" s="3">
        <f t="shared" si="9"/>
        <v>35.44920297683867</v>
      </c>
      <c r="BI60" s="3">
        <f t="shared" si="10"/>
        <v>19.55079702316133</v>
      </c>
      <c r="BJ60" s="3">
        <f t="shared" si="12"/>
        <v>0.5950847156539889</v>
      </c>
      <c r="BK60" s="3">
        <f t="shared" si="3"/>
        <v>-0.45609683602320777</v>
      </c>
      <c r="BL60" s="3">
        <f t="shared" si="4"/>
        <v>0.94333424358242735</v>
      </c>
      <c r="BM60" s="3">
        <f t="shared" si="5"/>
        <v>1.1143256579822716</v>
      </c>
      <c r="BN60" s="3">
        <f t="shared" si="6"/>
        <v>61.143256579822719</v>
      </c>
      <c r="BO60" s="2" t="str">
        <f t="shared" si="7"/>
        <v>B+</v>
      </c>
    </row>
    <row r="61" spans="1:67" x14ac:dyDescent="0.35">
      <c r="A61" s="15">
        <v>60</v>
      </c>
      <c r="B61" s="10" t="s">
        <v>101</v>
      </c>
      <c r="C61" s="11">
        <v>40</v>
      </c>
      <c r="D61" s="11">
        <v>1</v>
      </c>
      <c r="E61" s="11">
        <v>0</v>
      </c>
      <c r="F61" s="11">
        <v>1</v>
      </c>
      <c r="G61" s="11">
        <v>1</v>
      </c>
      <c r="H61" s="11">
        <v>1</v>
      </c>
      <c r="I61" s="11">
        <v>1</v>
      </c>
      <c r="J61" s="11">
        <v>1</v>
      </c>
      <c r="K61" s="11">
        <v>1</v>
      </c>
      <c r="L61" s="11">
        <v>1</v>
      </c>
      <c r="M61" s="11">
        <v>1</v>
      </c>
      <c r="N61" s="11">
        <v>1</v>
      </c>
      <c r="O61" s="11">
        <v>1</v>
      </c>
      <c r="P61" s="11">
        <v>0</v>
      </c>
      <c r="Q61" s="11">
        <v>1</v>
      </c>
      <c r="R61" s="11">
        <v>1</v>
      </c>
      <c r="S61" s="11">
        <v>1</v>
      </c>
      <c r="T61" s="11">
        <v>1</v>
      </c>
      <c r="U61" s="11">
        <v>1</v>
      </c>
      <c r="V61" s="11">
        <v>1</v>
      </c>
      <c r="W61" s="11">
        <v>1</v>
      </c>
      <c r="X61" s="11">
        <v>1</v>
      </c>
      <c r="Y61" s="11">
        <v>1</v>
      </c>
      <c r="Z61" s="11">
        <v>1</v>
      </c>
      <c r="AA61" s="11">
        <v>1</v>
      </c>
      <c r="AB61" s="11">
        <v>0</v>
      </c>
      <c r="AC61" s="11">
        <v>1</v>
      </c>
      <c r="AD61" s="11">
        <v>0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1</v>
      </c>
      <c r="AK61" s="11">
        <v>1</v>
      </c>
      <c r="AL61" s="11">
        <v>1</v>
      </c>
      <c r="AM61" s="11">
        <v>1</v>
      </c>
      <c r="AN61" s="11">
        <v>1</v>
      </c>
      <c r="AO61" s="11">
        <v>0</v>
      </c>
      <c r="AP61" s="11">
        <v>0</v>
      </c>
      <c r="AQ61" s="11">
        <v>1</v>
      </c>
      <c r="AR61" s="11">
        <v>1</v>
      </c>
      <c r="AS61" s="11">
        <v>1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1</v>
      </c>
      <c r="BC61" s="11">
        <v>1</v>
      </c>
      <c r="BD61" s="11">
        <v>1</v>
      </c>
      <c r="BE61" s="11">
        <v>0</v>
      </c>
      <c r="BF61" s="11">
        <v>0</v>
      </c>
      <c r="BG61" s="5">
        <f t="shared" si="8"/>
        <v>137.2812413600937</v>
      </c>
      <c r="BH61" s="3">
        <f t="shared" si="9"/>
        <v>35.058680633400847</v>
      </c>
      <c r="BI61" s="3">
        <f t="shared" si="10"/>
        <v>19.941319366599153</v>
      </c>
      <c r="BJ61" s="3">
        <f t="shared" si="12"/>
        <v>0.56422931793268527</v>
      </c>
      <c r="BK61" s="3">
        <f t="shared" si="3"/>
        <v>-0.45609683602320777</v>
      </c>
      <c r="BL61" s="3">
        <f t="shared" si="4"/>
        <v>0.94333424358242735</v>
      </c>
      <c r="BM61" s="3">
        <f t="shared" si="5"/>
        <v>1.0816167873659281</v>
      </c>
      <c r="BN61" s="3">
        <f t="shared" si="6"/>
        <v>60.816167873659282</v>
      </c>
      <c r="BO61" s="2" t="str">
        <f t="shared" si="7"/>
        <v>B+</v>
      </c>
    </row>
    <row r="62" spans="1:67" x14ac:dyDescent="0.35">
      <c r="A62" s="1">
        <v>61</v>
      </c>
      <c r="B62" s="10" t="s">
        <v>102</v>
      </c>
      <c r="C62" s="11">
        <v>40</v>
      </c>
      <c r="D62" s="11">
        <v>1</v>
      </c>
      <c r="E62" s="11">
        <v>1</v>
      </c>
      <c r="F62" s="11">
        <v>1</v>
      </c>
      <c r="G62" s="11">
        <v>1</v>
      </c>
      <c r="H62" s="11">
        <v>1</v>
      </c>
      <c r="I62" s="11">
        <v>1</v>
      </c>
      <c r="J62" s="11">
        <v>1</v>
      </c>
      <c r="K62" s="11">
        <v>1</v>
      </c>
      <c r="L62" s="11">
        <v>1</v>
      </c>
      <c r="M62" s="11">
        <v>1</v>
      </c>
      <c r="N62" s="11">
        <v>1</v>
      </c>
      <c r="O62" s="11">
        <v>1</v>
      </c>
      <c r="P62" s="11">
        <v>1</v>
      </c>
      <c r="Q62" s="11">
        <v>1</v>
      </c>
      <c r="R62" s="11">
        <v>1</v>
      </c>
      <c r="S62" s="11">
        <v>1</v>
      </c>
      <c r="T62" s="11">
        <v>1</v>
      </c>
      <c r="U62" s="11">
        <v>1</v>
      </c>
      <c r="V62" s="11">
        <v>1</v>
      </c>
      <c r="W62" s="11">
        <v>1</v>
      </c>
      <c r="X62" s="11">
        <v>1</v>
      </c>
      <c r="Y62" s="11">
        <v>1</v>
      </c>
      <c r="Z62" s="11">
        <v>1</v>
      </c>
      <c r="AA62" s="11">
        <v>1</v>
      </c>
      <c r="AB62" s="11">
        <v>0</v>
      </c>
      <c r="AC62" s="11">
        <v>1</v>
      </c>
      <c r="AD62" s="11">
        <v>0</v>
      </c>
      <c r="AE62" s="11">
        <v>1</v>
      </c>
      <c r="AF62" s="11">
        <v>1</v>
      </c>
      <c r="AG62" s="11">
        <v>0</v>
      </c>
      <c r="AH62" s="11">
        <v>1</v>
      </c>
      <c r="AI62" s="11">
        <v>0</v>
      </c>
      <c r="AJ62" s="11">
        <v>1</v>
      </c>
      <c r="AK62" s="11">
        <v>1</v>
      </c>
      <c r="AL62" s="11">
        <v>1</v>
      </c>
      <c r="AM62" s="11">
        <v>1</v>
      </c>
      <c r="AN62" s="11">
        <v>1</v>
      </c>
      <c r="AO62" s="11">
        <v>0</v>
      </c>
      <c r="AP62" s="11">
        <v>0</v>
      </c>
      <c r="AQ62" s="11">
        <v>1</v>
      </c>
      <c r="AR62" s="11">
        <v>1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1</v>
      </c>
      <c r="AZ62" s="11">
        <v>0</v>
      </c>
      <c r="BA62" s="11">
        <v>1</v>
      </c>
      <c r="BB62" s="11">
        <v>1</v>
      </c>
      <c r="BC62" s="11">
        <v>1</v>
      </c>
      <c r="BD62" s="11">
        <v>1</v>
      </c>
      <c r="BE62" s="11">
        <v>0</v>
      </c>
      <c r="BF62" s="11">
        <v>0</v>
      </c>
      <c r="BG62" s="5">
        <f t="shared" si="8"/>
        <v>136.60373801767949</v>
      </c>
      <c r="BH62" s="3">
        <f t="shared" si="9"/>
        <v>34.885660830589927</v>
      </c>
      <c r="BI62" s="3">
        <f t="shared" si="10"/>
        <v>20.114339169410073</v>
      </c>
      <c r="BJ62" s="3">
        <f t="shared" si="12"/>
        <v>0.55064292809224458</v>
      </c>
      <c r="BK62" s="3">
        <f t="shared" si="3"/>
        <v>-0.45609683602320777</v>
      </c>
      <c r="BL62" s="3">
        <f t="shared" si="4"/>
        <v>0.94333424358242735</v>
      </c>
      <c r="BM62" s="3">
        <f t="shared" si="5"/>
        <v>1.0672142678635674</v>
      </c>
      <c r="BN62" s="3">
        <f t="shared" si="6"/>
        <v>60.672142678635673</v>
      </c>
      <c r="BO62" s="2" t="str">
        <f t="shared" si="7"/>
        <v>B+</v>
      </c>
    </row>
    <row r="63" spans="1:67" x14ac:dyDescent="0.35">
      <c r="A63" s="15">
        <v>62</v>
      </c>
      <c r="B63" s="10" t="s">
        <v>103</v>
      </c>
      <c r="C63" s="11">
        <v>39</v>
      </c>
      <c r="D63" s="11">
        <v>1</v>
      </c>
      <c r="E63" s="11">
        <v>1</v>
      </c>
      <c r="F63" s="11">
        <v>1</v>
      </c>
      <c r="G63" s="11">
        <v>1</v>
      </c>
      <c r="H63" s="11">
        <v>1</v>
      </c>
      <c r="I63" s="11">
        <v>0</v>
      </c>
      <c r="J63" s="11">
        <v>1</v>
      </c>
      <c r="K63" s="11">
        <v>1</v>
      </c>
      <c r="L63" s="11">
        <v>0</v>
      </c>
      <c r="M63" s="11">
        <v>1</v>
      </c>
      <c r="N63" s="11">
        <v>1</v>
      </c>
      <c r="O63" s="11">
        <v>1</v>
      </c>
      <c r="P63" s="11">
        <v>1</v>
      </c>
      <c r="Q63" s="11">
        <v>1</v>
      </c>
      <c r="R63" s="11">
        <v>1</v>
      </c>
      <c r="S63" s="11">
        <v>1</v>
      </c>
      <c r="T63" s="11">
        <v>1</v>
      </c>
      <c r="U63" s="11">
        <v>1</v>
      </c>
      <c r="V63" s="11">
        <v>1</v>
      </c>
      <c r="W63" s="11">
        <v>1</v>
      </c>
      <c r="X63" s="11">
        <v>1</v>
      </c>
      <c r="Y63" s="11">
        <v>1</v>
      </c>
      <c r="Z63" s="11">
        <v>1</v>
      </c>
      <c r="AA63" s="11">
        <v>0</v>
      </c>
      <c r="AB63" s="11">
        <v>1</v>
      </c>
      <c r="AC63" s="11">
        <v>1</v>
      </c>
      <c r="AD63" s="11">
        <v>0</v>
      </c>
      <c r="AE63" s="11">
        <v>1</v>
      </c>
      <c r="AF63" s="11">
        <v>1</v>
      </c>
      <c r="AG63" s="11">
        <v>0</v>
      </c>
      <c r="AH63" s="11">
        <v>1</v>
      </c>
      <c r="AI63" s="11">
        <v>1</v>
      </c>
      <c r="AJ63" s="11">
        <v>1</v>
      </c>
      <c r="AK63" s="11">
        <v>1</v>
      </c>
      <c r="AL63" s="11">
        <v>1</v>
      </c>
      <c r="AM63" s="11">
        <v>0</v>
      </c>
      <c r="AN63" s="11">
        <v>0</v>
      </c>
      <c r="AO63" s="11">
        <v>0</v>
      </c>
      <c r="AP63" s="11">
        <v>0</v>
      </c>
      <c r="AQ63" s="11">
        <v>1</v>
      </c>
      <c r="AR63" s="11">
        <v>0</v>
      </c>
      <c r="AS63" s="11">
        <v>1</v>
      </c>
      <c r="AT63" s="11">
        <v>1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1</v>
      </c>
      <c r="BA63" s="11">
        <v>1</v>
      </c>
      <c r="BB63" s="11">
        <v>1</v>
      </c>
      <c r="BC63" s="11">
        <v>1</v>
      </c>
      <c r="BD63" s="11">
        <v>1</v>
      </c>
      <c r="BE63" s="11">
        <v>0</v>
      </c>
      <c r="BF63" s="11">
        <v>1</v>
      </c>
      <c r="BG63" s="5">
        <f t="shared" si="8"/>
        <v>136.25617950349132</v>
      </c>
      <c r="BH63" s="3">
        <f t="shared" si="9"/>
        <v>34.796901850633006</v>
      </c>
      <c r="BI63" s="3">
        <f t="shared" si="10"/>
        <v>20.203098149366994</v>
      </c>
      <c r="BJ63" s="3">
        <f t="shared" si="12"/>
        <v>0.54369238915895413</v>
      </c>
      <c r="BK63" s="3">
        <f t="shared" si="3"/>
        <v>-0.45609683602320777</v>
      </c>
      <c r="BL63" s="3">
        <f t="shared" si="4"/>
        <v>0.94333424358242735</v>
      </c>
      <c r="BM63" s="3">
        <f t="shared" si="5"/>
        <v>1.0598462124997603</v>
      </c>
      <c r="BN63" s="3">
        <f t="shared" si="6"/>
        <v>60.598462124997603</v>
      </c>
      <c r="BO63" s="2" t="str">
        <f t="shared" si="7"/>
        <v>B+</v>
      </c>
    </row>
    <row r="64" spans="1:67" x14ac:dyDescent="0.35">
      <c r="A64" s="15">
        <v>63</v>
      </c>
      <c r="B64" s="12">
        <v>7355608</v>
      </c>
      <c r="C64" s="11">
        <v>39</v>
      </c>
      <c r="D64" s="11">
        <v>1</v>
      </c>
      <c r="E64" s="11">
        <v>1</v>
      </c>
      <c r="F64" s="11">
        <v>1</v>
      </c>
      <c r="G64" s="11">
        <v>1</v>
      </c>
      <c r="H64" s="11">
        <v>1</v>
      </c>
      <c r="I64" s="11">
        <v>1</v>
      </c>
      <c r="J64" s="11">
        <v>1</v>
      </c>
      <c r="K64" s="11">
        <v>1</v>
      </c>
      <c r="L64" s="11">
        <v>1</v>
      </c>
      <c r="M64" s="11">
        <v>1</v>
      </c>
      <c r="N64" s="11">
        <v>1</v>
      </c>
      <c r="O64" s="11">
        <v>1</v>
      </c>
      <c r="P64" s="11">
        <v>1</v>
      </c>
      <c r="Q64" s="11">
        <v>1</v>
      </c>
      <c r="R64" s="11">
        <v>1</v>
      </c>
      <c r="S64" s="11">
        <v>1</v>
      </c>
      <c r="T64" s="11">
        <v>1</v>
      </c>
      <c r="U64" s="11">
        <v>0</v>
      </c>
      <c r="V64" s="11">
        <v>1</v>
      </c>
      <c r="W64" s="11">
        <v>1</v>
      </c>
      <c r="X64" s="11">
        <v>0</v>
      </c>
      <c r="Y64" s="11">
        <v>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1">
        <v>1</v>
      </c>
      <c r="AG64" s="11">
        <v>0</v>
      </c>
      <c r="AH64" s="11">
        <v>1</v>
      </c>
      <c r="AI64" s="11">
        <v>0</v>
      </c>
      <c r="AJ64" s="11">
        <v>1</v>
      </c>
      <c r="AK64" s="11">
        <v>1</v>
      </c>
      <c r="AL64" s="11">
        <v>1</v>
      </c>
      <c r="AM64" s="11">
        <v>0</v>
      </c>
      <c r="AN64" s="11">
        <v>0</v>
      </c>
      <c r="AO64" s="11">
        <v>0</v>
      </c>
      <c r="AP64" s="11">
        <v>0</v>
      </c>
      <c r="AQ64" s="11">
        <v>1</v>
      </c>
      <c r="AR64" s="11">
        <v>1</v>
      </c>
      <c r="AS64" s="11">
        <v>1</v>
      </c>
      <c r="AT64" s="11">
        <v>1</v>
      </c>
      <c r="AU64" s="11">
        <v>0</v>
      </c>
      <c r="AV64" s="11">
        <v>0</v>
      </c>
      <c r="AW64" s="11">
        <v>1</v>
      </c>
      <c r="AX64" s="11">
        <v>1</v>
      </c>
      <c r="AY64" s="11">
        <v>0</v>
      </c>
      <c r="AZ64" s="11">
        <v>0</v>
      </c>
      <c r="BA64" s="11">
        <v>0</v>
      </c>
      <c r="BB64" s="11">
        <v>0</v>
      </c>
      <c r="BC64" s="11">
        <v>1</v>
      </c>
      <c r="BD64" s="11">
        <v>1</v>
      </c>
      <c r="BE64" s="11">
        <v>0</v>
      </c>
      <c r="BF64" s="11">
        <v>0</v>
      </c>
      <c r="BG64" s="5">
        <f t="shared" si="8"/>
        <v>135.26190225004231</v>
      </c>
      <c r="BH64" s="3">
        <f t="shared" si="9"/>
        <v>34.54298479434496</v>
      </c>
      <c r="BI64" s="3">
        <f t="shared" si="10"/>
        <v>20.45701520565504</v>
      </c>
      <c r="BJ64" s="3">
        <f t="shared" si="12"/>
        <v>0.5238786190663185</v>
      </c>
      <c r="BK64" s="3">
        <f t="shared" si="3"/>
        <v>-0.45609683602320777</v>
      </c>
      <c r="BL64" s="3">
        <f t="shared" si="4"/>
        <v>0.94333424358242735</v>
      </c>
      <c r="BM64" s="3">
        <f t="shared" si="5"/>
        <v>1.0388422362024614</v>
      </c>
      <c r="BN64" s="3">
        <f t="shared" si="6"/>
        <v>60.388422362024613</v>
      </c>
      <c r="BO64" s="2" t="str">
        <f t="shared" si="7"/>
        <v>B+</v>
      </c>
    </row>
    <row r="65" spans="1:67" x14ac:dyDescent="0.35">
      <c r="A65" s="1">
        <v>64</v>
      </c>
      <c r="B65" s="10" t="s">
        <v>104</v>
      </c>
      <c r="C65" s="11">
        <v>38</v>
      </c>
      <c r="D65" s="11">
        <v>1</v>
      </c>
      <c r="E65" s="11">
        <v>1</v>
      </c>
      <c r="F65" s="11">
        <v>1</v>
      </c>
      <c r="G65" s="11">
        <v>1</v>
      </c>
      <c r="H65" s="11">
        <v>1</v>
      </c>
      <c r="I65" s="11">
        <v>1</v>
      </c>
      <c r="J65" s="11">
        <v>1</v>
      </c>
      <c r="K65" s="11">
        <v>1</v>
      </c>
      <c r="L65" s="11">
        <v>1</v>
      </c>
      <c r="M65" s="11">
        <v>1</v>
      </c>
      <c r="N65" s="11">
        <v>1</v>
      </c>
      <c r="O65" s="11">
        <v>0</v>
      </c>
      <c r="P65" s="11">
        <v>0</v>
      </c>
      <c r="Q65" s="11">
        <v>1</v>
      </c>
      <c r="R65" s="11">
        <v>0</v>
      </c>
      <c r="S65" s="11">
        <v>1</v>
      </c>
      <c r="T65" s="11">
        <v>1</v>
      </c>
      <c r="U65" s="11">
        <v>1</v>
      </c>
      <c r="V65" s="11">
        <v>0</v>
      </c>
      <c r="W65" s="11">
        <v>1</v>
      </c>
      <c r="X65" s="11">
        <v>1</v>
      </c>
      <c r="Y65" s="11">
        <v>1</v>
      </c>
      <c r="Z65" s="11">
        <v>1</v>
      </c>
      <c r="AA65" s="11">
        <v>0</v>
      </c>
      <c r="AB65" s="11">
        <v>0</v>
      </c>
      <c r="AC65" s="11">
        <v>1</v>
      </c>
      <c r="AD65" s="11">
        <v>0</v>
      </c>
      <c r="AE65" s="11">
        <v>1</v>
      </c>
      <c r="AF65" s="11">
        <v>1</v>
      </c>
      <c r="AG65" s="11">
        <v>1</v>
      </c>
      <c r="AH65" s="11">
        <v>1</v>
      </c>
      <c r="AI65" s="11">
        <v>1</v>
      </c>
      <c r="AJ65" s="11">
        <v>1</v>
      </c>
      <c r="AK65" s="11">
        <v>1</v>
      </c>
      <c r="AL65" s="11">
        <v>1</v>
      </c>
      <c r="AM65" s="11">
        <v>0</v>
      </c>
      <c r="AN65" s="11">
        <v>0</v>
      </c>
      <c r="AO65" s="11">
        <v>1</v>
      </c>
      <c r="AP65" s="11">
        <v>1</v>
      </c>
      <c r="AQ65" s="11">
        <v>0</v>
      </c>
      <c r="AR65" s="11">
        <v>0</v>
      </c>
      <c r="AS65" s="11">
        <v>1</v>
      </c>
      <c r="AT65" s="11">
        <v>0</v>
      </c>
      <c r="AU65" s="11">
        <v>1</v>
      </c>
      <c r="AV65" s="11">
        <v>1</v>
      </c>
      <c r="AW65" s="11">
        <v>0</v>
      </c>
      <c r="AX65" s="11">
        <v>0</v>
      </c>
      <c r="AY65" s="11">
        <v>0</v>
      </c>
      <c r="AZ65" s="11">
        <v>1</v>
      </c>
      <c r="BA65" s="11">
        <v>1</v>
      </c>
      <c r="BB65" s="11">
        <v>1</v>
      </c>
      <c r="BC65" s="11">
        <v>1</v>
      </c>
      <c r="BD65" s="11">
        <v>1</v>
      </c>
      <c r="BE65" s="11">
        <v>0</v>
      </c>
      <c r="BF65" s="11">
        <v>0</v>
      </c>
      <c r="BG65" s="5">
        <f t="shared" si="8"/>
        <v>134.20828860421193</v>
      </c>
      <c r="BH65" s="3">
        <f t="shared" si="9"/>
        <v>34.273914497819376</v>
      </c>
      <c r="BI65" s="3">
        <f t="shared" si="10"/>
        <v>20.726085502180624</v>
      </c>
      <c r="BJ65" s="3">
        <f t="shared" si="12"/>
        <v>0.50299147845756653</v>
      </c>
      <c r="BK65" s="3">
        <f t="shared" si="3"/>
        <v>-0.45609683602320777</v>
      </c>
      <c r="BL65" s="3">
        <f t="shared" si="4"/>
        <v>0.94333424358242735</v>
      </c>
      <c r="BM65" s="3">
        <f t="shared" si="5"/>
        <v>1.016700412399447</v>
      </c>
      <c r="BN65" s="3">
        <f t="shared" si="6"/>
        <v>60.167004123994474</v>
      </c>
      <c r="BO65" s="2" t="str">
        <f t="shared" si="7"/>
        <v>B+</v>
      </c>
    </row>
    <row r="66" spans="1:67" x14ac:dyDescent="0.35">
      <c r="A66" s="15">
        <v>65</v>
      </c>
      <c r="B66" s="10" t="s">
        <v>105</v>
      </c>
      <c r="C66" s="11">
        <v>38</v>
      </c>
      <c r="D66" s="11">
        <v>1</v>
      </c>
      <c r="E66" s="11">
        <v>0</v>
      </c>
      <c r="F66" s="11">
        <v>1</v>
      </c>
      <c r="G66" s="11">
        <v>1</v>
      </c>
      <c r="H66" s="11">
        <v>1</v>
      </c>
      <c r="I66" s="11">
        <v>1</v>
      </c>
      <c r="J66" s="11">
        <v>1</v>
      </c>
      <c r="K66" s="11">
        <v>0</v>
      </c>
      <c r="L66" s="11">
        <v>1</v>
      </c>
      <c r="M66" s="11">
        <v>1</v>
      </c>
      <c r="N66" s="11">
        <v>1</v>
      </c>
      <c r="O66" s="11">
        <v>1</v>
      </c>
      <c r="P66" s="11">
        <v>1</v>
      </c>
      <c r="Q66" s="11">
        <v>1</v>
      </c>
      <c r="R66" s="11">
        <v>1</v>
      </c>
      <c r="S66" s="11">
        <v>1</v>
      </c>
      <c r="T66" s="11">
        <v>1</v>
      </c>
      <c r="U66" s="11">
        <v>1</v>
      </c>
      <c r="V66" s="11">
        <v>1</v>
      </c>
      <c r="W66" s="11">
        <v>1</v>
      </c>
      <c r="X66" s="11">
        <v>1</v>
      </c>
      <c r="Y66" s="11">
        <v>1</v>
      </c>
      <c r="Z66" s="11">
        <v>1</v>
      </c>
      <c r="AA66" s="11">
        <v>1</v>
      </c>
      <c r="AB66" s="11">
        <v>0</v>
      </c>
      <c r="AC66" s="11">
        <v>0</v>
      </c>
      <c r="AD66" s="11">
        <v>1</v>
      </c>
      <c r="AE66" s="11">
        <v>1</v>
      </c>
      <c r="AF66" s="11">
        <v>1</v>
      </c>
      <c r="AG66" s="11">
        <v>1</v>
      </c>
      <c r="AH66" s="11">
        <v>1</v>
      </c>
      <c r="AI66" s="11">
        <v>1</v>
      </c>
      <c r="AJ66" s="11">
        <v>1</v>
      </c>
      <c r="AK66" s="11">
        <v>1</v>
      </c>
      <c r="AL66" s="11">
        <v>0</v>
      </c>
      <c r="AM66" s="11">
        <v>0</v>
      </c>
      <c r="AN66" s="11">
        <v>0</v>
      </c>
      <c r="AO66" s="11">
        <v>1</v>
      </c>
      <c r="AP66" s="11">
        <v>1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1</v>
      </c>
      <c r="AZ66" s="11">
        <v>1</v>
      </c>
      <c r="BA66" s="11">
        <v>1</v>
      </c>
      <c r="BB66" s="11">
        <v>1</v>
      </c>
      <c r="BC66" s="11">
        <v>1</v>
      </c>
      <c r="BD66" s="11">
        <v>1</v>
      </c>
      <c r="BE66" s="11">
        <v>0</v>
      </c>
      <c r="BF66" s="11">
        <v>0</v>
      </c>
      <c r="BG66" s="5">
        <f t="shared" si="8"/>
        <v>134.1951974939812</v>
      </c>
      <c r="BH66" s="3">
        <f t="shared" si="9"/>
        <v>34.270571309426195</v>
      </c>
      <c r="BI66" s="3">
        <f t="shared" si="10"/>
        <v>20.729428690573805</v>
      </c>
      <c r="BJ66" s="3">
        <f t="shared" ref="BJ66:BJ129" si="13">LN(BH66/BI66)</f>
        <v>0.50273264005985385</v>
      </c>
      <c r="BK66" s="3">
        <f t="shared" si="3"/>
        <v>-0.45609683602320777</v>
      </c>
      <c r="BL66" s="3">
        <f t="shared" si="4"/>
        <v>0.94333424358242735</v>
      </c>
      <c r="BM66" s="3">
        <f t="shared" si="5"/>
        <v>1.0164260256701687</v>
      </c>
      <c r="BN66" s="3">
        <f t="shared" si="6"/>
        <v>60.164260256701688</v>
      </c>
      <c r="BO66" s="2" t="str">
        <f t="shared" si="7"/>
        <v>B+</v>
      </c>
    </row>
    <row r="67" spans="1:67" x14ac:dyDescent="0.35">
      <c r="A67" s="15">
        <v>66</v>
      </c>
      <c r="B67" s="12">
        <v>5346456</v>
      </c>
      <c r="C67" s="11">
        <v>39</v>
      </c>
      <c r="D67" s="11">
        <v>1</v>
      </c>
      <c r="E67" s="11">
        <v>1</v>
      </c>
      <c r="F67" s="11">
        <v>1</v>
      </c>
      <c r="G67" s="11">
        <v>1</v>
      </c>
      <c r="H67" s="11">
        <v>1</v>
      </c>
      <c r="I67" s="11">
        <v>1</v>
      </c>
      <c r="J67" s="11">
        <v>1</v>
      </c>
      <c r="K67" s="11">
        <v>1</v>
      </c>
      <c r="L67" s="11">
        <v>1</v>
      </c>
      <c r="M67" s="11">
        <v>1</v>
      </c>
      <c r="N67" s="11">
        <v>1</v>
      </c>
      <c r="O67" s="11">
        <v>1</v>
      </c>
      <c r="P67" s="11">
        <v>1</v>
      </c>
      <c r="Q67" s="11">
        <v>1</v>
      </c>
      <c r="R67" s="11">
        <v>0</v>
      </c>
      <c r="S67" s="11">
        <v>1</v>
      </c>
      <c r="T67" s="11">
        <v>1</v>
      </c>
      <c r="U67" s="11">
        <v>1</v>
      </c>
      <c r="V67" s="11">
        <v>1</v>
      </c>
      <c r="W67" s="11">
        <v>0</v>
      </c>
      <c r="X67" s="11">
        <v>1</v>
      </c>
      <c r="Y67" s="11">
        <v>1</v>
      </c>
      <c r="Z67" s="11">
        <v>1</v>
      </c>
      <c r="AA67" s="11">
        <v>1</v>
      </c>
      <c r="AB67" s="11">
        <v>1</v>
      </c>
      <c r="AC67" s="11">
        <v>1</v>
      </c>
      <c r="AD67" s="11">
        <v>0</v>
      </c>
      <c r="AE67" s="11">
        <v>1</v>
      </c>
      <c r="AF67" s="11">
        <v>1</v>
      </c>
      <c r="AG67" s="11">
        <v>0</v>
      </c>
      <c r="AH67" s="11">
        <v>1</v>
      </c>
      <c r="AI67" s="11">
        <v>0</v>
      </c>
      <c r="AJ67" s="11">
        <v>1</v>
      </c>
      <c r="AK67" s="11">
        <v>1</v>
      </c>
      <c r="AL67" s="11">
        <v>1</v>
      </c>
      <c r="AM67" s="11">
        <v>1</v>
      </c>
      <c r="AN67" s="11">
        <v>1</v>
      </c>
      <c r="AO67" s="11">
        <v>0</v>
      </c>
      <c r="AP67" s="11">
        <v>0</v>
      </c>
      <c r="AQ67" s="11">
        <v>1</v>
      </c>
      <c r="AR67" s="11">
        <v>1</v>
      </c>
      <c r="AS67" s="11">
        <v>0</v>
      </c>
      <c r="AT67" s="11">
        <v>0</v>
      </c>
      <c r="AU67" s="11">
        <v>0</v>
      </c>
      <c r="AV67" s="11">
        <v>1</v>
      </c>
      <c r="AW67" s="11">
        <v>0</v>
      </c>
      <c r="AX67" s="11">
        <v>0</v>
      </c>
      <c r="AY67" s="11">
        <v>0</v>
      </c>
      <c r="AZ67" s="11">
        <v>0</v>
      </c>
      <c r="BA67" s="11">
        <v>1</v>
      </c>
      <c r="BB67" s="11">
        <v>1</v>
      </c>
      <c r="BC67" s="11">
        <v>1</v>
      </c>
      <c r="BD67" s="11">
        <v>1</v>
      </c>
      <c r="BE67" s="11">
        <v>0</v>
      </c>
      <c r="BF67" s="11">
        <v>0</v>
      </c>
      <c r="BG67" s="5">
        <f t="shared" si="8"/>
        <v>134.08015329311843</v>
      </c>
      <c r="BH67" s="3">
        <f t="shared" si="9"/>
        <v>34.241191491347536</v>
      </c>
      <c r="BI67" s="3">
        <f t="shared" si="10"/>
        <v>20.758808508652464</v>
      </c>
      <c r="BJ67" s="3">
        <f t="shared" si="13"/>
        <v>0.50045868585628295</v>
      </c>
      <c r="BK67" s="3">
        <f t="shared" ref="BK67:BK130" si="14">AVERAGE($BJ$2:$BJ$472)</f>
        <v>-0.45609683602320777</v>
      </c>
      <c r="BL67" s="3">
        <f t="shared" ref="BL67:BL130" si="15">_xlfn.STDEV.S($BJ$2:$BJ$472)</f>
        <v>0.94333424358242735</v>
      </c>
      <c r="BM67" s="3">
        <f t="shared" ref="BM67:BM130" si="16">(BJ67-BK67)/BL67</f>
        <v>1.0140154758369144</v>
      </c>
      <c r="BN67" s="3">
        <f t="shared" ref="BN67:BN130" si="17">50+10*BM67</f>
        <v>60.140154758369142</v>
      </c>
      <c r="BO67" s="2" t="str">
        <f t="shared" ref="BO67:BO130" si="18">IF(BN67&lt;45,"NC",IF(BN67&lt;50,"C",IF(BN67&lt;55,"C+",IF(BN67&lt;60,"B",IF(BN67&lt;65,"B+",IF(BN67&lt;=70,"A","A+"))))))</f>
        <v>B+</v>
      </c>
    </row>
    <row r="68" spans="1:67" x14ac:dyDescent="0.35">
      <c r="A68" s="1">
        <v>67</v>
      </c>
      <c r="B68" s="12">
        <v>9856743</v>
      </c>
      <c r="C68" s="11">
        <v>37</v>
      </c>
      <c r="D68" s="11">
        <v>1</v>
      </c>
      <c r="E68" s="11">
        <v>0</v>
      </c>
      <c r="F68" s="11">
        <v>1</v>
      </c>
      <c r="G68" s="11">
        <v>1</v>
      </c>
      <c r="H68" s="11">
        <v>1</v>
      </c>
      <c r="I68" s="11">
        <v>0</v>
      </c>
      <c r="J68" s="11">
        <v>1</v>
      </c>
      <c r="K68" s="11">
        <v>1</v>
      </c>
      <c r="L68" s="11">
        <v>1</v>
      </c>
      <c r="M68" s="11">
        <v>1</v>
      </c>
      <c r="N68" s="11">
        <v>1</v>
      </c>
      <c r="O68" s="11">
        <v>1</v>
      </c>
      <c r="P68" s="11">
        <v>0</v>
      </c>
      <c r="Q68" s="11">
        <v>1</v>
      </c>
      <c r="R68" s="11">
        <v>0</v>
      </c>
      <c r="S68" s="11">
        <v>1</v>
      </c>
      <c r="T68" s="11">
        <v>1</v>
      </c>
      <c r="U68" s="11">
        <v>1</v>
      </c>
      <c r="V68" s="11">
        <v>1</v>
      </c>
      <c r="W68" s="11">
        <v>1</v>
      </c>
      <c r="X68" s="11">
        <v>1</v>
      </c>
      <c r="Y68" s="11">
        <v>1</v>
      </c>
      <c r="Z68" s="11">
        <v>1</v>
      </c>
      <c r="AA68" s="11">
        <v>1</v>
      </c>
      <c r="AB68" s="11">
        <v>0</v>
      </c>
      <c r="AC68" s="11">
        <v>0</v>
      </c>
      <c r="AD68" s="11">
        <v>1</v>
      </c>
      <c r="AE68" s="11">
        <v>1</v>
      </c>
      <c r="AF68" s="11">
        <v>1</v>
      </c>
      <c r="AG68" s="11">
        <v>0</v>
      </c>
      <c r="AH68" s="11">
        <v>1</v>
      </c>
      <c r="AI68" s="11">
        <v>0</v>
      </c>
      <c r="AJ68" s="11">
        <v>1</v>
      </c>
      <c r="AK68" s="11">
        <v>1</v>
      </c>
      <c r="AL68" s="11">
        <v>1</v>
      </c>
      <c r="AM68" s="11">
        <v>0</v>
      </c>
      <c r="AN68" s="11">
        <v>0</v>
      </c>
      <c r="AO68" s="11">
        <v>1</v>
      </c>
      <c r="AP68" s="11">
        <v>1</v>
      </c>
      <c r="AQ68" s="11">
        <v>1</v>
      </c>
      <c r="AR68" s="11">
        <v>1</v>
      </c>
      <c r="AS68" s="11">
        <v>0</v>
      </c>
      <c r="AT68" s="11">
        <v>1</v>
      </c>
      <c r="AU68" s="11">
        <v>0</v>
      </c>
      <c r="AV68" s="11">
        <v>0</v>
      </c>
      <c r="AW68" s="11">
        <v>1</v>
      </c>
      <c r="AX68" s="11">
        <v>1</v>
      </c>
      <c r="AY68" s="11">
        <v>0</v>
      </c>
      <c r="AZ68" s="11">
        <v>0</v>
      </c>
      <c r="BA68" s="11">
        <v>0</v>
      </c>
      <c r="BB68" s="11">
        <v>0</v>
      </c>
      <c r="BC68" s="11">
        <v>1</v>
      </c>
      <c r="BD68" s="11">
        <v>1</v>
      </c>
      <c r="BE68" s="11">
        <v>0</v>
      </c>
      <c r="BF68" s="11">
        <v>1</v>
      </c>
      <c r="BG68" s="5">
        <f t="shared" ref="BG68:BG131" si="19">D68*$D$477+E68*$E$477+F68*$F$477+G68*$G$477+H68*$H$477+I68*$I$477+J68*$J$477+K68*$K$477+L68*$L$477+M68*$M$477+N68*$N$477+O68*$O$477+P68*$P$477+Q68*$Q$477+R68*$R$477+S68*$S$477+T68*$T$477+U68*$U$477+V68*$V$477+W68*W$477+X68*$X$477+Y68*$Y$477+Z68*$Z$477+AA68*$AA$477+AB68*$AB$477+AC68*$AC$477+AD68*$AD$477+AE68*$AE$477+AF68*$AF$477+AG68*$AG$477+AH68*$AH$477+AI68*$AI$477+AJ68*$AJ$477+AK68*$AK$477+AL68*$AL$477+AM68*$AM$477+AN68*$AN$477+AO68*$AO$477+AP68*$AP$477+AQ68*$AQ$477+AR68*$AR$477+AS68*$AS$477+AT68*$AT$477+AU68*$AU$477+AV68*$AV$477+AW68*$AW$477+AX68*$AX$477+AY68*$AY$477+AZ68*$AZ$477+BA68*$BA$477+BB68*$BB$477+BC68*$BC$477+BD68*$BD$477+BE68*$BE$477+BF68*$BF$477</f>
        <v>133.63494285557604</v>
      </c>
      <c r="BH68" s="3">
        <f t="shared" ref="BH68:BH131" si="20">BG68*55/$BG$2</f>
        <v>34.127494307451059</v>
      </c>
      <c r="BI68" s="3">
        <f t="shared" ref="BI68:BI131" si="21">55-BH68</f>
        <v>20.872505692548941</v>
      </c>
      <c r="BJ68" s="3">
        <f t="shared" si="13"/>
        <v>0.49167056827698197</v>
      </c>
      <c r="BK68" s="3">
        <f t="shared" si="14"/>
        <v>-0.45609683602320777</v>
      </c>
      <c r="BL68" s="3">
        <f t="shared" si="15"/>
        <v>0.94333424358242735</v>
      </c>
      <c r="BM68" s="3">
        <f t="shared" si="16"/>
        <v>1.0046994591237639</v>
      </c>
      <c r="BN68" s="3">
        <f t="shared" si="17"/>
        <v>60.046994591237635</v>
      </c>
      <c r="BO68" s="2" t="str">
        <f t="shared" si="18"/>
        <v>B+</v>
      </c>
    </row>
    <row r="69" spans="1:67" x14ac:dyDescent="0.35">
      <c r="A69" s="15">
        <v>68</v>
      </c>
      <c r="B69" s="10" t="s">
        <v>106</v>
      </c>
      <c r="C69" s="11">
        <v>39</v>
      </c>
      <c r="D69" s="11">
        <v>1</v>
      </c>
      <c r="E69" s="11">
        <v>1</v>
      </c>
      <c r="F69" s="11">
        <v>1</v>
      </c>
      <c r="G69" s="11">
        <v>1</v>
      </c>
      <c r="H69" s="11">
        <v>1</v>
      </c>
      <c r="I69" s="11">
        <v>1</v>
      </c>
      <c r="J69" s="11">
        <v>1</v>
      </c>
      <c r="K69" s="11">
        <v>1</v>
      </c>
      <c r="L69" s="11">
        <v>1</v>
      </c>
      <c r="M69" s="11">
        <v>1</v>
      </c>
      <c r="N69" s="11">
        <v>1</v>
      </c>
      <c r="O69" s="11">
        <v>1</v>
      </c>
      <c r="P69" s="11">
        <v>0</v>
      </c>
      <c r="Q69" s="11">
        <v>1</v>
      </c>
      <c r="R69" s="11">
        <v>1</v>
      </c>
      <c r="S69" s="11">
        <v>1</v>
      </c>
      <c r="T69" s="11">
        <v>1</v>
      </c>
      <c r="U69" s="11">
        <v>1</v>
      </c>
      <c r="V69" s="11">
        <v>1</v>
      </c>
      <c r="W69" s="11">
        <v>1</v>
      </c>
      <c r="X69" s="11">
        <v>1</v>
      </c>
      <c r="Y69" s="11">
        <v>1</v>
      </c>
      <c r="Z69" s="11">
        <v>0</v>
      </c>
      <c r="AA69" s="11">
        <v>1</v>
      </c>
      <c r="AB69" s="11">
        <v>0</v>
      </c>
      <c r="AC69" s="11">
        <v>1</v>
      </c>
      <c r="AD69" s="11">
        <v>1</v>
      </c>
      <c r="AE69" s="11">
        <v>1</v>
      </c>
      <c r="AF69" s="11">
        <v>1</v>
      </c>
      <c r="AG69" s="11">
        <v>1</v>
      </c>
      <c r="AH69" s="11">
        <v>1</v>
      </c>
      <c r="AI69" s="11">
        <v>1</v>
      </c>
      <c r="AJ69" s="11">
        <v>1</v>
      </c>
      <c r="AK69" s="11">
        <v>1</v>
      </c>
      <c r="AL69" s="11">
        <v>1</v>
      </c>
      <c r="AM69" s="11">
        <v>1</v>
      </c>
      <c r="AN69" s="11">
        <v>1</v>
      </c>
      <c r="AO69" s="11">
        <v>1</v>
      </c>
      <c r="AP69" s="11">
        <v>1</v>
      </c>
      <c r="AQ69" s="11">
        <v>1</v>
      </c>
      <c r="AR69" s="11">
        <v>0</v>
      </c>
      <c r="AS69" s="11">
        <v>1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1</v>
      </c>
      <c r="BD69" s="11">
        <v>0</v>
      </c>
      <c r="BE69" s="11">
        <v>0</v>
      </c>
      <c r="BF69" s="11">
        <v>0</v>
      </c>
      <c r="BG69" s="5">
        <f t="shared" si="19"/>
        <v>133.26611487461108</v>
      </c>
      <c r="BH69" s="3">
        <f t="shared" si="20"/>
        <v>34.033303562486893</v>
      </c>
      <c r="BI69" s="3">
        <f t="shared" si="21"/>
        <v>20.966696437513107</v>
      </c>
      <c r="BJ69" s="3">
        <f t="shared" si="13"/>
        <v>0.48440426679613857</v>
      </c>
      <c r="BK69" s="3">
        <f t="shared" si="14"/>
        <v>-0.45609683602320777</v>
      </c>
      <c r="BL69" s="3">
        <f t="shared" si="15"/>
        <v>0.94333424358242735</v>
      </c>
      <c r="BM69" s="3">
        <f t="shared" si="16"/>
        <v>0.99699667346716714</v>
      </c>
      <c r="BN69" s="3">
        <f t="shared" si="17"/>
        <v>59.969966734671672</v>
      </c>
      <c r="BO69" s="2" t="str">
        <f t="shared" si="18"/>
        <v>B</v>
      </c>
    </row>
    <row r="70" spans="1:67" x14ac:dyDescent="0.35">
      <c r="A70" s="15">
        <v>69</v>
      </c>
      <c r="B70" s="10" t="s">
        <v>107</v>
      </c>
      <c r="C70" s="11">
        <v>39</v>
      </c>
      <c r="D70" s="11">
        <v>1</v>
      </c>
      <c r="E70" s="11">
        <v>1</v>
      </c>
      <c r="F70" s="11">
        <v>1</v>
      </c>
      <c r="G70" s="11">
        <v>1</v>
      </c>
      <c r="H70" s="11">
        <v>1</v>
      </c>
      <c r="I70" s="11">
        <v>1</v>
      </c>
      <c r="J70" s="11">
        <v>1</v>
      </c>
      <c r="K70" s="11">
        <v>1</v>
      </c>
      <c r="L70" s="11">
        <v>1</v>
      </c>
      <c r="M70" s="11">
        <v>1</v>
      </c>
      <c r="N70" s="11">
        <v>1</v>
      </c>
      <c r="O70" s="11">
        <v>0</v>
      </c>
      <c r="P70" s="11">
        <v>1</v>
      </c>
      <c r="Q70" s="11">
        <v>1</v>
      </c>
      <c r="R70" s="11">
        <v>1</v>
      </c>
      <c r="S70" s="11">
        <v>1</v>
      </c>
      <c r="T70" s="11">
        <v>1</v>
      </c>
      <c r="U70" s="11">
        <v>1</v>
      </c>
      <c r="V70" s="11">
        <v>1</v>
      </c>
      <c r="W70" s="11">
        <v>1</v>
      </c>
      <c r="X70" s="11">
        <v>1</v>
      </c>
      <c r="Y70" s="11">
        <v>0</v>
      </c>
      <c r="Z70" s="11">
        <v>1</v>
      </c>
      <c r="AA70" s="11">
        <v>0</v>
      </c>
      <c r="AB70" s="11">
        <v>1</v>
      </c>
      <c r="AC70" s="11">
        <v>1</v>
      </c>
      <c r="AD70" s="11">
        <v>0</v>
      </c>
      <c r="AE70" s="11">
        <v>1</v>
      </c>
      <c r="AF70" s="11">
        <v>1</v>
      </c>
      <c r="AG70" s="11">
        <v>1</v>
      </c>
      <c r="AH70" s="11">
        <v>1</v>
      </c>
      <c r="AI70" s="11">
        <v>1</v>
      </c>
      <c r="AJ70" s="11">
        <v>1</v>
      </c>
      <c r="AK70" s="11">
        <v>1</v>
      </c>
      <c r="AL70" s="11">
        <v>1</v>
      </c>
      <c r="AM70" s="11">
        <v>1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1</v>
      </c>
      <c r="AT70" s="11">
        <v>1</v>
      </c>
      <c r="AU70" s="11">
        <v>0</v>
      </c>
      <c r="AV70" s="11">
        <v>0</v>
      </c>
      <c r="AW70" s="11">
        <v>0</v>
      </c>
      <c r="AX70" s="11">
        <v>0</v>
      </c>
      <c r="AY70" s="11">
        <v>1</v>
      </c>
      <c r="AZ70" s="11">
        <v>0</v>
      </c>
      <c r="BA70" s="11">
        <v>1</v>
      </c>
      <c r="BB70" s="11">
        <v>1</v>
      </c>
      <c r="BC70" s="11">
        <v>1</v>
      </c>
      <c r="BD70" s="11">
        <v>1</v>
      </c>
      <c r="BE70" s="11">
        <v>0</v>
      </c>
      <c r="BF70" s="11">
        <v>0</v>
      </c>
      <c r="BG70" s="5">
        <f t="shared" si="19"/>
        <v>132.96279513157253</v>
      </c>
      <c r="BH70" s="3">
        <f t="shared" si="20"/>
        <v>33.955842214558807</v>
      </c>
      <c r="BI70" s="3">
        <f t="shared" si="21"/>
        <v>21.044157785441193</v>
      </c>
      <c r="BJ70" s="3">
        <f t="shared" si="13"/>
        <v>0.47843794038015797</v>
      </c>
      <c r="BK70" s="3">
        <f t="shared" si="14"/>
        <v>-0.45609683602320777</v>
      </c>
      <c r="BL70" s="3">
        <f t="shared" si="15"/>
        <v>0.94333424358242735</v>
      </c>
      <c r="BM70" s="3">
        <f t="shared" si="16"/>
        <v>0.99067195192062096</v>
      </c>
      <c r="BN70" s="3">
        <f t="shared" si="17"/>
        <v>59.906719519206206</v>
      </c>
      <c r="BO70" s="2" t="str">
        <f t="shared" si="18"/>
        <v>B</v>
      </c>
    </row>
    <row r="71" spans="1:67" x14ac:dyDescent="0.35">
      <c r="A71" s="1">
        <v>70</v>
      </c>
      <c r="B71" s="10" t="s">
        <v>108</v>
      </c>
      <c r="C71" s="11">
        <v>38</v>
      </c>
      <c r="D71" s="11">
        <v>0</v>
      </c>
      <c r="E71" s="11">
        <v>1</v>
      </c>
      <c r="F71" s="11">
        <v>1</v>
      </c>
      <c r="G71" s="11">
        <v>1</v>
      </c>
      <c r="H71" s="11">
        <v>1</v>
      </c>
      <c r="I71" s="11">
        <v>0</v>
      </c>
      <c r="J71" s="11">
        <v>1</v>
      </c>
      <c r="K71" s="11">
        <v>1</v>
      </c>
      <c r="L71" s="11">
        <v>1</v>
      </c>
      <c r="M71" s="11">
        <v>1</v>
      </c>
      <c r="N71" s="11">
        <v>1</v>
      </c>
      <c r="O71" s="11">
        <v>1</v>
      </c>
      <c r="P71" s="11">
        <v>1</v>
      </c>
      <c r="Q71" s="11">
        <v>1</v>
      </c>
      <c r="R71" s="11">
        <v>0</v>
      </c>
      <c r="S71" s="11">
        <v>1</v>
      </c>
      <c r="T71" s="11">
        <v>1</v>
      </c>
      <c r="U71" s="11">
        <v>1</v>
      </c>
      <c r="V71" s="11">
        <v>1</v>
      </c>
      <c r="W71" s="11">
        <v>1</v>
      </c>
      <c r="X71" s="11">
        <v>0</v>
      </c>
      <c r="Y71" s="11">
        <v>1</v>
      </c>
      <c r="Z71" s="11">
        <v>1</v>
      </c>
      <c r="AA71" s="11">
        <v>1</v>
      </c>
      <c r="AB71" s="11">
        <v>0</v>
      </c>
      <c r="AC71" s="11">
        <v>1</v>
      </c>
      <c r="AD71" s="11">
        <v>0</v>
      </c>
      <c r="AE71" s="11">
        <v>1</v>
      </c>
      <c r="AF71" s="11">
        <v>1</v>
      </c>
      <c r="AG71" s="11">
        <v>1</v>
      </c>
      <c r="AH71" s="11">
        <v>0</v>
      </c>
      <c r="AI71" s="11">
        <v>1</v>
      </c>
      <c r="AJ71" s="11">
        <v>1</v>
      </c>
      <c r="AK71" s="11">
        <v>1</v>
      </c>
      <c r="AL71" s="11">
        <v>1</v>
      </c>
      <c r="AM71" s="11">
        <v>1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1</v>
      </c>
      <c r="AT71" s="11">
        <v>1</v>
      </c>
      <c r="AU71" s="11">
        <v>1</v>
      </c>
      <c r="AV71" s="11">
        <v>1</v>
      </c>
      <c r="AW71" s="11">
        <v>0</v>
      </c>
      <c r="AX71" s="11">
        <v>0</v>
      </c>
      <c r="AY71" s="11">
        <v>1</v>
      </c>
      <c r="AZ71" s="11">
        <v>0</v>
      </c>
      <c r="BA71" s="11">
        <v>1</v>
      </c>
      <c r="BB71" s="11">
        <v>1</v>
      </c>
      <c r="BC71" s="11">
        <v>1</v>
      </c>
      <c r="BD71" s="11">
        <v>1</v>
      </c>
      <c r="BE71" s="11">
        <v>0</v>
      </c>
      <c r="BF71" s="11">
        <v>0</v>
      </c>
      <c r="BG71" s="5">
        <f t="shared" si="19"/>
        <v>132.72810363933795</v>
      </c>
      <c r="BH71" s="3">
        <f t="shared" si="20"/>
        <v>33.895907047946743</v>
      </c>
      <c r="BI71" s="3">
        <f t="shared" si="21"/>
        <v>21.104092952053257</v>
      </c>
      <c r="BJ71" s="3">
        <f t="shared" si="13"/>
        <v>0.47382727060758412</v>
      </c>
      <c r="BK71" s="3">
        <f t="shared" si="14"/>
        <v>-0.45609683602320777</v>
      </c>
      <c r="BL71" s="3">
        <f t="shared" si="15"/>
        <v>0.94333424358242735</v>
      </c>
      <c r="BM71" s="3">
        <f t="shared" si="16"/>
        <v>0.98578432083551981</v>
      </c>
      <c r="BN71" s="3">
        <f t="shared" si="17"/>
        <v>59.857843208355199</v>
      </c>
      <c r="BO71" s="2" t="str">
        <f t="shared" si="18"/>
        <v>B</v>
      </c>
    </row>
    <row r="72" spans="1:67" x14ac:dyDescent="0.35">
      <c r="A72" s="15">
        <v>71</v>
      </c>
      <c r="B72" s="10" t="s">
        <v>109</v>
      </c>
      <c r="C72" s="11">
        <v>35</v>
      </c>
      <c r="D72" s="11">
        <v>1</v>
      </c>
      <c r="E72" s="11">
        <v>1</v>
      </c>
      <c r="F72" s="11">
        <v>1</v>
      </c>
      <c r="G72" s="11">
        <v>1</v>
      </c>
      <c r="H72" s="11">
        <v>1</v>
      </c>
      <c r="I72" s="11">
        <v>0</v>
      </c>
      <c r="J72" s="11">
        <v>1</v>
      </c>
      <c r="K72" s="11">
        <v>1</v>
      </c>
      <c r="L72" s="11">
        <v>0</v>
      </c>
      <c r="M72" s="11">
        <v>1</v>
      </c>
      <c r="N72" s="11">
        <v>1</v>
      </c>
      <c r="O72" s="11">
        <v>1</v>
      </c>
      <c r="P72" s="11">
        <v>0</v>
      </c>
      <c r="Q72" s="11">
        <v>1</v>
      </c>
      <c r="R72" s="11">
        <v>0</v>
      </c>
      <c r="S72" s="11">
        <v>1</v>
      </c>
      <c r="T72" s="11">
        <v>0</v>
      </c>
      <c r="U72" s="11">
        <v>0</v>
      </c>
      <c r="V72" s="11">
        <v>0</v>
      </c>
      <c r="W72" s="11">
        <v>1</v>
      </c>
      <c r="X72" s="11">
        <v>1</v>
      </c>
      <c r="Y72" s="11">
        <v>0</v>
      </c>
      <c r="Z72" s="11">
        <v>1</v>
      </c>
      <c r="AA72" s="11">
        <v>1</v>
      </c>
      <c r="AB72" s="11">
        <v>0</v>
      </c>
      <c r="AC72" s="11">
        <v>1</v>
      </c>
      <c r="AD72" s="11">
        <v>1</v>
      </c>
      <c r="AE72" s="11">
        <v>1</v>
      </c>
      <c r="AF72" s="11">
        <v>0</v>
      </c>
      <c r="AG72" s="11">
        <v>1</v>
      </c>
      <c r="AH72" s="11">
        <v>1</v>
      </c>
      <c r="AI72" s="11">
        <v>1</v>
      </c>
      <c r="AJ72" s="11">
        <v>0</v>
      </c>
      <c r="AK72" s="11">
        <v>0</v>
      </c>
      <c r="AL72" s="11">
        <v>0</v>
      </c>
      <c r="AM72" s="11">
        <v>1</v>
      </c>
      <c r="AN72" s="11">
        <v>0</v>
      </c>
      <c r="AO72" s="11">
        <v>0</v>
      </c>
      <c r="AP72" s="11">
        <v>1</v>
      </c>
      <c r="AQ72" s="11">
        <v>1</v>
      </c>
      <c r="AR72" s="11">
        <v>0</v>
      </c>
      <c r="AS72" s="11">
        <v>0</v>
      </c>
      <c r="AT72" s="11">
        <v>0</v>
      </c>
      <c r="AU72" s="11">
        <v>1</v>
      </c>
      <c r="AV72" s="11">
        <v>1</v>
      </c>
      <c r="AW72" s="11">
        <v>1</v>
      </c>
      <c r="AX72" s="11">
        <v>1</v>
      </c>
      <c r="AY72" s="11">
        <v>1</v>
      </c>
      <c r="AZ72" s="11">
        <v>1</v>
      </c>
      <c r="BA72" s="11">
        <v>1</v>
      </c>
      <c r="BB72" s="11">
        <v>1</v>
      </c>
      <c r="BC72" s="11">
        <v>1</v>
      </c>
      <c r="BD72" s="11">
        <v>1</v>
      </c>
      <c r="BE72" s="11">
        <v>0</v>
      </c>
      <c r="BF72" s="11">
        <v>0</v>
      </c>
      <c r="BG72" s="5">
        <f t="shared" si="19"/>
        <v>130.382022644324</v>
      </c>
      <c r="BH72" s="3">
        <f t="shared" si="20"/>
        <v>33.296768348956256</v>
      </c>
      <c r="BI72" s="3">
        <f t="shared" si="21"/>
        <v>21.703231651043744</v>
      </c>
      <c r="BJ72" s="3">
        <f t="shared" si="13"/>
        <v>0.42799917222961747</v>
      </c>
      <c r="BK72" s="3">
        <f t="shared" si="14"/>
        <v>-0.45609683602320777</v>
      </c>
      <c r="BL72" s="3">
        <f t="shared" si="15"/>
        <v>0.94333424358242735</v>
      </c>
      <c r="BM72" s="3">
        <f t="shared" si="16"/>
        <v>0.93720334469716948</v>
      </c>
      <c r="BN72" s="3">
        <f t="shared" si="17"/>
        <v>59.372033446971699</v>
      </c>
      <c r="BO72" s="2" t="str">
        <f t="shared" si="18"/>
        <v>B</v>
      </c>
    </row>
    <row r="73" spans="1:67" x14ac:dyDescent="0.35">
      <c r="A73" s="15">
        <v>72</v>
      </c>
      <c r="B73" s="10" t="s">
        <v>110</v>
      </c>
      <c r="C73" s="11">
        <v>38</v>
      </c>
      <c r="D73" s="11">
        <v>1</v>
      </c>
      <c r="E73" s="11">
        <v>1</v>
      </c>
      <c r="F73" s="11">
        <v>1</v>
      </c>
      <c r="G73" s="11">
        <v>1</v>
      </c>
      <c r="H73" s="11">
        <v>1</v>
      </c>
      <c r="I73" s="11">
        <v>1</v>
      </c>
      <c r="J73" s="11">
        <v>1</v>
      </c>
      <c r="K73" s="11">
        <v>1</v>
      </c>
      <c r="L73" s="11">
        <v>1</v>
      </c>
      <c r="M73" s="11">
        <v>1</v>
      </c>
      <c r="N73" s="11">
        <v>1</v>
      </c>
      <c r="O73" s="11">
        <v>1</v>
      </c>
      <c r="P73" s="11">
        <v>1</v>
      </c>
      <c r="Q73" s="11">
        <v>1</v>
      </c>
      <c r="R73" s="11">
        <v>0</v>
      </c>
      <c r="S73" s="11">
        <v>1</v>
      </c>
      <c r="T73" s="11">
        <v>1</v>
      </c>
      <c r="U73" s="11">
        <v>0</v>
      </c>
      <c r="V73" s="11">
        <v>1</v>
      </c>
      <c r="W73" s="11">
        <v>1</v>
      </c>
      <c r="X73" s="11">
        <v>1</v>
      </c>
      <c r="Y73" s="11">
        <v>1</v>
      </c>
      <c r="Z73" s="11">
        <v>1</v>
      </c>
      <c r="AA73" s="11">
        <v>0</v>
      </c>
      <c r="AB73" s="11">
        <v>0</v>
      </c>
      <c r="AC73" s="11">
        <v>1</v>
      </c>
      <c r="AD73" s="11">
        <v>1</v>
      </c>
      <c r="AE73" s="11">
        <v>0</v>
      </c>
      <c r="AF73" s="11">
        <v>1</v>
      </c>
      <c r="AG73" s="11">
        <v>0</v>
      </c>
      <c r="AH73" s="11">
        <v>1</v>
      </c>
      <c r="AI73" s="11">
        <v>0</v>
      </c>
      <c r="AJ73" s="11">
        <v>1</v>
      </c>
      <c r="AK73" s="11">
        <v>1</v>
      </c>
      <c r="AL73" s="11">
        <v>1</v>
      </c>
      <c r="AM73" s="11">
        <v>1</v>
      </c>
      <c r="AN73" s="11">
        <v>1</v>
      </c>
      <c r="AO73" s="11">
        <v>0</v>
      </c>
      <c r="AP73" s="11">
        <v>0</v>
      </c>
      <c r="AQ73" s="11">
        <v>1</v>
      </c>
      <c r="AR73" s="11">
        <v>0</v>
      </c>
      <c r="AS73" s="11">
        <v>1</v>
      </c>
      <c r="AT73" s="11">
        <v>1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1</v>
      </c>
      <c r="BA73" s="11">
        <v>1</v>
      </c>
      <c r="BB73" s="11">
        <v>1</v>
      </c>
      <c r="BC73" s="11">
        <v>1</v>
      </c>
      <c r="BD73" s="11">
        <v>1</v>
      </c>
      <c r="BE73" s="11">
        <v>0</v>
      </c>
      <c r="BF73" s="11">
        <v>0</v>
      </c>
      <c r="BG73" s="5">
        <f t="shared" si="19"/>
        <v>130.0431335081596</v>
      </c>
      <c r="BH73" s="3">
        <f t="shared" si="20"/>
        <v>33.210223341953061</v>
      </c>
      <c r="BI73" s="3">
        <f t="shared" si="21"/>
        <v>21.789776658046939</v>
      </c>
      <c r="BJ73" s="3">
        <f t="shared" si="13"/>
        <v>0.42141686134909434</v>
      </c>
      <c r="BK73" s="3">
        <f t="shared" si="14"/>
        <v>-0.45609683602320777</v>
      </c>
      <c r="BL73" s="3">
        <f t="shared" si="15"/>
        <v>0.94333424358242735</v>
      </c>
      <c r="BM73" s="3">
        <f t="shared" si="16"/>
        <v>0.93022563671582237</v>
      </c>
      <c r="BN73" s="3">
        <f t="shared" si="17"/>
        <v>59.302256367158222</v>
      </c>
      <c r="BO73" s="2" t="str">
        <f t="shared" si="18"/>
        <v>B</v>
      </c>
    </row>
    <row r="74" spans="1:67" x14ac:dyDescent="0.35">
      <c r="A74" s="1">
        <v>73</v>
      </c>
      <c r="B74" s="10" t="s">
        <v>111</v>
      </c>
      <c r="C74" s="11">
        <v>38</v>
      </c>
      <c r="D74" s="11">
        <v>1</v>
      </c>
      <c r="E74" s="11">
        <v>1</v>
      </c>
      <c r="F74" s="11">
        <v>1</v>
      </c>
      <c r="G74" s="11">
        <v>1</v>
      </c>
      <c r="H74" s="11">
        <v>1</v>
      </c>
      <c r="I74" s="11">
        <v>1</v>
      </c>
      <c r="J74" s="11">
        <v>1</v>
      </c>
      <c r="K74" s="11">
        <v>1</v>
      </c>
      <c r="L74" s="11">
        <v>1</v>
      </c>
      <c r="M74" s="11">
        <v>1</v>
      </c>
      <c r="N74" s="11">
        <v>1</v>
      </c>
      <c r="O74" s="11">
        <v>1</v>
      </c>
      <c r="P74" s="11">
        <v>0</v>
      </c>
      <c r="Q74" s="11">
        <v>1</v>
      </c>
      <c r="R74" s="11">
        <v>0</v>
      </c>
      <c r="S74" s="11">
        <v>1</v>
      </c>
      <c r="T74" s="11">
        <v>1</v>
      </c>
      <c r="U74" s="11">
        <v>1</v>
      </c>
      <c r="V74" s="11">
        <v>1</v>
      </c>
      <c r="W74" s="11">
        <v>1</v>
      </c>
      <c r="X74" s="11">
        <v>0</v>
      </c>
      <c r="Y74" s="11">
        <v>1</v>
      </c>
      <c r="Z74" s="11">
        <v>1</v>
      </c>
      <c r="AA74" s="11">
        <v>0</v>
      </c>
      <c r="AB74" s="11">
        <v>1</v>
      </c>
      <c r="AC74" s="11">
        <v>1</v>
      </c>
      <c r="AD74" s="11">
        <v>1</v>
      </c>
      <c r="AE74" s="11">
        <v>1</v>
      </c>
      <c r="AF74" s="11">
        <v>1</v>
      </c>
      <c r="AG74" s="11">
        <v>1</v>
      </c>
      <c r="AH74" s="11">
        <v>0</v>
      </c>
      <c r="AI74" s="11">
        <v>1</v>
      </c>
      <c r="AJ74" s="11">
        <v>1</v>
      </c>
      <c r="AK74" s="11">
        <v>1</v>
      </c>
      <c r="AL74" s="11">
        <v>1</v>
      </c>
      <c r="AM74" s="11">
        <v>0</v>
      </c>
      <c r="AN74" s="11">
        <v>0</v>
      </c>
      <c r="AO74" s="11">
        <v>0</v>
      </c>
      <c r="AP74" s="11">
        <v>0</v>
      </c>
      <c r="AQ74" s="11">
        <v>1</v>
      </c>
      <c r="AR74" s="11">
        <v>1</v>
      </c>
      <c r="AS74" s="11">
        <v>1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1</v>
      </c>
      <c r="AZ74" s="11">
        <v>0</v>
      </c>
      <c r="BA74" s="11">
        <v>1</v>
      </c>
      <c r="BB74" s="11">
        <v>1</v>
      </c>
      <c r="BC74" s="11">
        <v>1</v>
      </c>
      <c r="BD74" s="11">
        <v>1</v>
      </c>
      <c r="BE74" s="11">
        <v>0</v>
      </c>
      <c r="BF74" s="11">
        <v>0</v>
      </c>
      <c r="BG74" s="5">
        <f t="shared" si="19"/>
        <v>129.4296596470802</v>
      </c>
      <c r="BH74" s="3">
        <f t="shared" si="20"/>
        <v>33.053555293504211</v>
      </c>
      <c r="BI74" s="3">
        <f t="shared" si="21"/>
        <v>21.946444706495789</v>
      </c>
      <c r="BJ74" s="3">
        <f t="shared" si="13"/>
        <v>0.40952397965622067</v>
      </c>
      <c r="BK74" s="3">
        <f t="shared" si="14"/>
        <v>-0.45609683602320777</v>
      </c>
      <c r="BL74" s="3">
        <f t="shared" si="15"/>
        <v>0.94333424358242735</v>
      </c>
      <c r="BM74" s="3">
        <f t="shared" si="16"/>
        <v>0.91761835380016255</v>
      </c>
      <c r="BN74" s="3">
        <f t="shared" si="17"/>
        <v>59.176183538001624</v>
      </c>
      <c r="BO74" s="2" t="str">
        <f t="shared" si="18"/>
        <v>B</v>
      </c>
    </row>
    <row r="75" spans="1:67" x14ac:dyDescent="0.35">
      <c r="A75" s="15">
        <v>74</v>
      </c>
      <c r="B75" s="10" t="s">
        <v>112</v>
      </c>
      <c r="C75" s="11">
        <v>38</v>
      </c>
      <c r="D75" s="11">
        <v>1</v>
      </c>
      <c r="E75" s="11">
        <v>1</v>
      </c>
      <c r="F75" s="11">
        <v>1</v>
      </c>
      <c r="G75" s="11">
        <v>1</v>
      </c>
      <c r="H75" s="11">
        <v>1</v>
      </c>
      <c r="I75" s="11">
        <v>0</v>
      </c>
      <c r="J75" s="11">
        <v>1</v>
      </c>
      <c r="K75" s="11">
        <v>1</v>
      </c>
      <c r="L75" s="11">
        <v>1</v>
      </c>
      <c r="M75" s="11">
        <v>1</v>
      </c>
      <c r="N75" s="11">
        <v>1</v>
      </c>
      <c r="O75" s="11">
        <v>1</v>
      </c>
      <c r="P75" s="11">
        <v>1</v>
      </c>
      <c r="Q75" s="11">
        <v>1</v>
      </c>
      <c r="R75" s="11">
        <v>0</v>
      </c>
      <c r="S75" s="11">
        <v>1</v>
      </c>
      <c r="T75" s="11">
        <v>1</v>
      </c>
      <c r="U75" s="11">
        <v>1</v>
      </c>
      <c r="V75" s="11">
        <v>0</v>
      </c>
      <c r="W75" s="11">
        <v>1</v>
      </c>
      <c r="X75" s="11">
        <v>1</v>
      </c>
      <c r="Y75" s="11">
        <v>1</v>
      </c>
      <c r="Z75" s="11">
        <v>1</v>
      </c>
      <c r="AA75" s="11">
        <v>1</v>
      </c>
      <c r="AB75" s="11">
        <v>0</v>
      </c>
      <c r="AC75" s="11">
        <v>1</v>
      </c>
      <c r="AD75" s="11">
        <v>0</v>
      </c>
      <c r="AE75" s="11">
        <v>1</v>
      </c>
      <c r="AF75" s="11">
        <v>1</v>
      </c>
      <c r="AG75" s="11">
        <v>1</v>
      </c>
      <c r="AH75" s="11">
        <v>1</v>
      </c>
      <c r="AI75" s="11">
        <v>1</v>
      </c>
      <c r="AJ75" s="11">
        <v>1</v>
      </c>
      <c r="AK75" s="11">
        <v>1</v>
      </c>
      <c r="AL75" s="11">
        <v>1</v>
      </c>
      <c r="AM75" s="11">
        <v>0</v>
      </c>
      <c r="AN75" s="11">
        <v>0</v>
      </c>
      <c r="AO75" s="11">
        <v>0</v>
      </c>
      <c r="AP75" s="11">
        <v>0</v>
      </c>
      <c r="AQ75" s="11">
        <v>1</v>
      </c>
      <c r="AR75" s="11">
        <v>1</v>
      </c>
      <c r="AS75" s="11">
        <v>0</v>
      </c>
      <c r="AT75" s="11">
        <v>1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1</v>
      </c>
      <c r="BB75" s="11">
        <v>1</v>
      </c>
      <c r="BC75" s="11">
        <v>1</v>
      </c>
      <c r="BD75" s="11">
        <v>1</v>
      </c>
      <c r="BE75" s="11">
        <v>0</v>
      </c>
      <c r="BF75" s="11">
        <v>1</v>
      </c>
      <c r="BG75" s="5">
        <f t="shared" si="19"/>
        <v>129.01662173476961</v>
      </c>
      <c r="BH75" s="3">
        <f t="shared" si="20"/>
        <v>32.948074281577746</v>
      </c>
      <c r="BI75" s="3">
        <f t="shared" si="21"/>
        <v>22.051925718422254</v>
      </c>
      <c r="BJ75" s="3">
        <f t="shared" si="13"/>
        <v>0.4015328833376644</v>
      </c>
      <c r="BK75" s="3">
        <f t="shared" si="14"/>
        <v>-0.45609683602320777</v>
      </c>
      <c r="BL75" s="3">
        <f t="shared" si="15"/>
        <v>0.94333424358242735</v>
      </c>
      <c r="BM75" s="3">
        <f t="shared" si="16"/>
        <v>0.90914723513472617</v>
      </c>
      <c r="BN75" s="3">
        <f t="shared" si="17"/>
        <v>59.091472351347264</v>
      </c>
      <c r="BO75" s="2" t="str">
        <f t="shared" si="18"/>
        <v>B</v>
      </c>
    </row>
    <row r="76" spans="1:67" x14ac:dyDescent="0.35">
      <c r="A76" s="15">
        <v>75</v>
      </c>
      <c r="B76" s="12">
        <v>1301004</v>
      </c>
      <c r="C76" s="11">
        <v>38</v>
      </c>
      <c r="D76" s="11">
        <v>1</v>
      </c>
      <c r="E76" s="11">
        <v>1</v>
      </c>
      <c r="F76" s="11">
        <v>1</v>
      </c>
      <c r="G76" s="11">
        <v>1</v>
      </c>
      <c r="H76" s="11">
        <v>1</v>
      </c>
      <c r="I76" s="11">
        <v>1</v>
      </c>
      <c r="J76" s="11">
        <v>1</v>
      </c>
      <c r="K76" s="11">
        <v>1</v>
      </c>
      <c r="L76" s="11">
        <v>1</v>
      </c>
      <c r="M76" s="11">
        <v>1</v>
      </c>
      <c r="N76" s="11">
        <v>0</v>
      </c>
      <c r="O76" s="11">
        <v>1</v>
      </c>
      <c r="P76" s="11">
        <v>1</v>
      </c>
      <c r="Q76" s="11">
        <v>1</v>
      </c>
      <c r="R76" s="11">
        <v>1</v>
      </c>
      <c r="S76" s="11">
        <v>1</v>
      </c>
      <c r="T76" s="11">
        <v>1</v>
      </c>
      <c r="U76" s="11">
        <v>1</v>
      </c>
      <c r="V76" s="11">
        <v>1</v>
      </c>
      <c r="W76" s="11">
        <v>1</v>
      </c>
      <c r="X76" s="11">
        <v>1</v>
      </c>
      <c r="Y76" s="11">
        <v>1</v>
      </c>
      <c r="Z76" s="11">
        <v>1</v>
      </c>
      <c r="AA76" s="11">
        <v>1</v>
      </c>
      <c r="AB76" s="11">
        <v>0</v>
      </c>
      <c r="AC76" s="11">
        <v>1</v>
      </c>
      <c r="AD76" s="11">
        <v>1</v>
      </c>
      <c r="AE76" s="11">
        <v>1</v>
      </c>
      <c r="AF76" s="11">
        <v>1</v>
      </c>
      <c r="AG76" s="11">
        <v>0</v>
      </c>
      <c r="AH76" s="11">
        <v>1</v>
      </c>
      <c r="AI76" s="11">
        <v>1</v>
      </c>
      <c r="AJ76" s="11">
        <v>1</v>
      </c>
      <c r="AK76" s="11">
        <v>1</v>
      </c>
      <c r="AL76" s="11">
        <v>1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1</v>
      </c>
      <c r="AT76" s="11">
        <v>1</v>
      </c>
      <c r="AU76" s="11">
        <v>1</v>
      </c>
      <c r="AV76" s="11">
        <v>1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1</v>
      </c>
      <c r="BD76" s="11">
        <v>1</v>
      </c>
      <c r="BE76" s="11">
        <v>0</v>
      </c>
      <c r="BF76" s="11">
        <v>0</v>
      </c>
      <c r="BG76" s="5">
        <f t="shared" si="19"/>
        <v>128.45017949550802</v>
      </c>
      <c r="BH76" s="3">
        <f t="shared" si="20"/>
        <v>32.803417099235908</v>
      </c>
      <c r="BI76" s="3">
        <f t="shared" si="21"/>
        <v>22.196582900764092</v>
      </c>
      <c r="BJ76" s="3">
        <f t="shared" si="13"/>
        <v>0.39059433617669875</v>
      </c>
      <c r="BK76" s="3">
        <f t="shared" si="14"/>
        <v>-0.45609683602320777</v>
      </c>
      <c r="BL76" s="3">
        <f t="shared" si="15"/>
        <v>0.94333424358242735</v>
      </c>
      <c r="BM76" s="3">
        <f t="shared" si="16"/>
        <v>0.89755161329084487</v>
      </c>
      <c r="BN76" s="3">
        <f t="shared" si="17"/>
        <v>58.975516132908453</v>
      </c>
      <c r="BO76" s="2" t="str">
        <f t="shared" si="18"/>
        <v>B</v>
      </c>
    </row>
    <row r="77" spans="1:67" x14ac:dyDescent="0.35">
      <c r="A77" s="1">
        <v>76</v>
      </c>
      <c r="B77" s="10" t="s">
        <v>113</v>
      </c>
      <c r="C77" s="11">
        <v>37</v>
      </c>
      <c r="D77" s="11">
        <v>1</v>
      </c>
      <c r="E77" s="11">
        <v>1</v>
      </c>
      <c r="F77" s="11">
        <v>1</v>
      </c>
      <c r="G77" s="11">
        <v>1</v>
      </c>
      <c r="H77" s="11">
        <v>1</v>
      </c>
      <c r="I77" s="11">
        <v>1</v>
      </c>
      <c r="J77" s="11">
        <v>1</v>
      </c>
      <c r="K77" s="11">
        <v>1</v>
      </c>
      <c r="L77" s="11">
        <v>1</v>
      </c>
      <c r="M77" s="11">
        <v>1</v>
      </c>
      <c r="N77" s="11">
        <v>1</v>
      </c>
      <c r="O77" s="11">
        <v>1</v>
      </c>
      <c r="P77" s="11">
        <v>1</v>
      </c>
      <c r="Q77" s="11">
        <v>1</v>
      </c>
      <c r="R77" s="11">
        <v>0</v>
      </c>
      <c r="S77" s="11">
        <v>1</v>
      </c>
      <c r="T77" s="11">
        <v>1</v>
      </c>
      <c r="U77" s="11">
        <v>1</v>
      </c>
      <c r="V77" s="11">
        <v>0</v>
      </c>
      <c r="W77" s="11">
        <v>1</v>
      </c>
      <c r="X77" s="11">
        <v>1</v>
      </c>
      <c r="Y77" s="11">
        <v>1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1</v>
      </c>
      <c r="AF77" s="11">
        <v>1</v>
      </c>
      <c r="AG77" s="11">
        <v>1</v>
      </c>
      <c r="AH77" s="11">
        <v>1</v>
      </c>
      <c r="AI77" s="11">
        <v>0</v>
      </c>
      <c r="AJ77" s="11">
        <v>1</v>
      </c>
      <c r="AK77" s="11">
        <v>1</v>
      </c>
      <c r="AL77" s="11">
        <v>1</v>
      </c>
      <c r="AM77" s="11">
        <v>1</v>
      </c>
      <c r="AN77" s="11">
        <v>1</v>
      </c>
      <c r="AO77" s="11">
        <v>0</v>
      </c>
      <c r="AP77" s="11">
        <v>0</v>
      </c>
      <c r="AQ77" s="11">
        <v>1</v>
      </c>
      <c r="AR77" s="11">
        <v>1</v>
      </c>
      <c r="AS77" s="11">
        <v>1</v>
      </c>
      <c r="AT77" s="11">
        <v>1</v>
      </c>
      <c r="AU77" s="11">
        <v>1</v>
      </c>
      <c r="AV77" s="11">
        <v>1</v>
      </c>
      <c r="AW77" s="11">
        <v>0</v>
      </c>
      <c r="AX77" s="11">
        <v>0</v>
      </c>
      <c r="AY77" s="11">
        <v>0</v>
      </c>
      <c r="AZ77" s="11">
        <v>1</v>
      </c>
      <c r="BA77" s="11">
        <v>1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5">
        <f t="shared" si="19"/>
        <v>127.9163579648347</v>
      </c>
      <c r="BH77" s="3">
        <f t="shared" si="20"/>
        <v>32.667090545267634</v>
      </c>
      <c r="BI77" s="3">
        <f t="shared" si="21"/>
        <v>22.332909454732366</v>
      </c>
      <c r="BJ77" s="3">
        <f t="shared" si="13"/>
        <v>0.38030681488992457</v>
      </c>
      <c r="BK77" s="3">
        <f t="shared" si="14"/>
        <v>-0.45609683602320777</v>
      </c>
      <c r="BL77" s="3">
        <f t="shared" si="15"/>
        <v>0.94333424358242735</v>
      </c>
      <c r="BM77" s="3">
        <f t="shared" si="16"/>
        <v>0.88664612421657352</v>
      </c>
      <c r="BN77" s="3">
        <f t="shared" si="17"/>
        <v>58.866461242165734</v>
      </c>
      <c r="BO77" s="2" t="str">
        <f t="shared" si="18"/>
        <v>B</v>
      </c>
    </row>
    <row r="78" spans="1:67" x14ac:dyDescent="0.35">
      <c r="A78" s="15">
        <v>77</v>
      </c>
      <c r="B78" s="10" t="s">
        <v>114</v>
      </c>
      <c r="C78" s="11">
        <v>38</v>
      </c>
      <c r="D78" s="11">
        <v>1</v>
      </c>
      <c r="E78" s="11">
        <v>1</v>
      </c>
      <c r="F78" s="11">
        <v>1</v>
      </c>
      <c r="G78" s="11">
        <v>1</v>
      </c>
      <c r="H78" s="11">
        <v>1</v>
      </c>
      <c r="I78" s="11">
        <v>1</v>
      </c>
      <c r="J78" s="11">
        <v>1</v>
      </c>
      <c r="K78" s="11">
        <v>1</v>
      </c>
      <c r="L78" s="11">
        <v>1</v>
      </c>
      <c r="M78" s="11">
        <v>1</v>
      </c>
      <c r="N78" s="11">
        <v>1</v>
      </c>
      <c r="O78" s="11">
        <v>1</v>
      </c>
      <c r="P78" s="11">
        <v>1</v>
      </c>
      <c r="Q78" s="11">
        <v>1</v>
      </c>
      <c r="R78" s="11">
        <v>0</v>
      </c>
      <c r="S78" s="11">
        <v>1</v>
      </c>
      <c r="T78" s="11">
        <v>1</v>
      </c>
      <c r="U78" s="11">
        <v>1</v>
      </c>
      <c r="V78" s="11">
        <v>1</v>
      </c>
      <c r="W78" s="11">
        <v>1</v>
      </c>
      <c r="X78" s="11">
        <v>1</v>
      </c>
      <c r="Y78" s="11">
        <v>1</v>
      </c>
      <c r="Z78" s="11">
        <v>1</v>
      </c>
      <c r="AA78" s="11">
        <v>0</v>
      </c>
      <c r="AB78" s="11">
        <v>0</v>
      </c>
      <c r="AC78" s="11">
        <v>1</v>
      </c>
      <c r="AD78" s="11">
        <v>1</v>
      </c>
      <c r="AE78" s="11">
        <v>1</v>
      </c>
      <c r="AF78" s="11">
        <v>1</v>
      </c>
      <c r="AG78" s="11">
        <v>1</v>
      </c>
      <c r="AH78" s="11">
        <v>1</v>
      </c>
      <c r="AI78" s="11">
        <v>1</v>
      </c>
      <c r="AJ78" s="11">
        <v>1</v>
      </c>
      <c r="AK78" s="11">
        <v>1</v>
      </c>
      <c r="AL78" s="11">
        <v>1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1</v>
      </c>
      <c r="BA78" s="11">
        <v>1</v>
      </c>
      <c r="BB78" s="11">
        <v>1</v>
      </c>
      <c r="BC78" s="11">
        <v>1</v>
      </c>
      <c r="BD78" s="11">
        <v>1</v>
      </c>
      <c r="BE78" s="11">
        <v>1</v>
      </c>
      <c r="BF78" s="11">
        <v>0</v>
      </c>
      <c r="BG78" s="5">
        <f t="shared" si="19"/>
        <v>127.586774076994</v>
      </c>
      <c r="BH78" s="3">
        <f t="shared" si="20"/>
        <v>32.582921898836084</v>
      </c>
      <c r="BI78" s="3">
        <f t="shared" si="21"/>
        <v>22.417078101163916</v>
      </c>
      <c r="BJ78" s="3">
        <f t="shared" si="13"/>
        <v>0.37396519937127204</v>
      </c>
      <c r="BK78" s="3">
        <f t="shared" si="14"/>
        <v>-0.45609683602320777</v>
      </c>
      <c r="BL78" s="3">
        <f t="shared" si="15"/>
        <v>0.94333424358242735</v>
      </c>
      <c r="BM78" s="3">
        <f t="shared" si="16"/>
        <v>0.87992357008287714</v>
      </c>
      <c r="BN78" s="3">
        <f t="shared" si="17"/>
        <v>58.799235700828774</v>
      </c>
      <c r="BO78" s="2" t="str">
        <f t="shared" si="18"/>
        <v>B</v>
      </c>
    </row>
    <row r="79" spans="1:67" x14ac:dyDescent="0.35">
      <c r="A79" s="15">
        <v>78</v>
      </c>
      <c r="B79" s="10" t="s">
        <v>115</v>
      </c>
      <c r="C79" s="11">
        <v>37</v>
      </c>
      <c r="D79" s="11">
        <v>1</v>
      </c>
      <c r="E79" s="11">
        <v>1</v>
      </c>
      <c r="F79" s="11">
        <v>1</v>
      </c>
      <c r="G79" s="11">
        <v>1</v>
      </c>
      <c r="H79" s="11">
        <v>1</v>
      </c>
      <c r="I79" s="11">
        <v>1</v>
      </c>
      <c r="J79" s="11">
        <v>1</v>
      </c>
      <c r="K79" s="11">
        <v>1</v>
      </c>
      <c r="L79" s="11">
        <v>1</v>
      </c>
      <c r="M79" s="11">
        <v>1</v>
      </c>
      <c r="N79" s="11">
        <v>1</v>
      </c>
      <c r="O79" s="11">
        <v>1</v>
      </c>
      <c r="P79" s="11">
        <v>1</v>
      </c>
      <c r="Q79" s="11">
        <v>1</v>
      </c>
      <c r="R79" s="11">
        <v>0</v>
      </c>
      <c r="S79" s="11">
        <v>1</v>
      </c>
      <c r="T79" s="11">
        <v>1</v>
      </c>
      <c r="U79" s="11">
        <v>1</v>
      </c>
      <c r="V79" s="11">
        <v>0</v>
      </c>
      <c r="W79" s="11">
        <v>1</v>
      </c>
      <c r="X79" s="11">
        <v>1</v>
      </c>
      <c r="Y79" s="11">
        <v>0</v>
      </c>
      <c r="Z79" s="11">
        <v>1</v>
      </c>
      <c r="AA79" s="11">
        <v>0</v>
      </c>
      <c r="AB79" s="11">
        <v>0</v>
      </c>
      <c r="AC79" s="11">
        <v>1</v>
      </c>
      <c r="AD79" s="11">
        <v>0</v>
      </c>
      <c r="AE79" s="11">
        <v>1</v>
      </c>
      <c r="AF79" s="11">
        <v>1</v>
      </c>
      <c r="AG79" s="11">
        <v>1</v>
      </c>
      <c r="AH79" s="11">
        <v>1</v>
      </c>
      <c r="AI79" s="11">
        <v>0</v>
      </c>
      <c r="AJ79" s="11">
        <v>1</v>
      </c>
      <c r="AK79" s="11">
        <v>1</v>
      </c>
      <c r="AL79" s="11">
        <v>1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1</v>
      </c>
      <c r="AS79" s="11">
        <v>1</v>
      </c>
      <c r="AT79" s="11">
        <v>0</v>
      </c>
      <c r="AU79" s="11">
        <v>1</v>
      </c>
      <c r="AV79" s="11">
        <v>1</v>
      </c>
      <c r="AW79" s="11">
        <v>1</v>
      </c>
      <c r="AX79" s="11">
        <v>0</v>
      </c>
      <c r="AY79" s="11">
        <v>0</v>
      </c>
      <c r="AZ79" s="11">
        <v>0</v>
      </c>
      <c r="BA79" s="11">
        <v>1</v>
      </c>
      <c r="BB79" s="11">
        <v>1</v>
      </c>
      <c r="BC79" s="11">
        <v>1</v>
      </c>
      <c r="BD79" s="11">
        <v>1</v>
      </c>
      <c r="BE79" s="11">
        <v>0</v>
      </c>
      <c r="BF79" s="11">
        <v>0</v>
      </c>
      <c r="BG79" s="5">
        <f t="shared" si="19"/>
        <v>126.56338452488467</v>
      </c>
      <c r="BH79" s="3">
        <f t="shared" si="20"/>
        <v>32.321570186719427</v>
      </c>
      <c r="BI79" s="3">
        <f t="shared" si="21"/>
        <v>22.678429813280573</v>
      </c>
      <c r="BJ79" s="3">
        <f t="shared" si="13"/>
        <v>0.3543205707384649</v>
      </c>
      <c r="BK79" s="3">
        <f t="shared" si="14"/>
        <v>-0.45609683602320777</v>
      </c>
      <c r="BL79" s="3">
        <f t="shared" si="15"/>
        <v>0.94333424358242735</v>
      </c>
      <c r="BM79" s="3">
        <f t="shared" si="16"/>
        <v>0.85909889551344321</v>
      </c>
      <c r="BN79" s="3">
        <f t="shared" si="17"/>
        <v>58.590988955134435</v>
      </c>
      <c r="BO79" s="2" t="str">
        <f t="shared" si="18"/>
        <v>B</v>
      </c>
    </row>
    <row r="80" spans="1:67" x14ac:dyDescent="0.35">
      <c r="A80" s="1">
        <v>79</v>
      </c>
      <c r="B80" s="10" t="s">
        <v>116</v>
      </c>
      <c r="C80" s="11">
        <v>37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  <c r="I80" s="11">
        <v>1</v>
      </c>
      <c r="J80" s="11">
        <v>1</v>
      </c>
      <c r="K80" s="11">
        <v>1</v>
      </c>
      <c r="L80" s="11">
        <v>1</v>
      </c>
      <c r="M80" s="11">
        <v>1</v>
      </c>
      <c r="N80" s="11">
        <v>1</v>
      </c>
      <c r="O80" s="11">
        <v>1</v>
      </c>
      <c r="P80" s="11">
        <v>1</v>
      </c>
      <c r="Q80" s="11">
        <v>1</v>
      </c>
      <c r="R80" s="11">
        <v>0</v>
      </c>
      <c r="S80" s="11">
        <v>1</v>
      </c>
      <c r="T80" s="11">
        <v>0</v>
      </c>
      <c r="U80" s="11">
        <v>1</v>
      </c>
      <c r="V80" s="11">
        <v>1</v>
      </c>
      <c r="W80" s="11">
        <v>1</v>
      </c>
      <c r="X80" s="11">
        <v>1</v>
      </c>
      <c r="Y80" s="11">
        <v>1</v>
      </c>
      <c r="Z80" s="11">
        <v>1</v>
      </c>
      <c r="AA80" s="11">
        <v>0</v>
      </c>
      <c r="AB80" s="11">
        <v>0</v>
      </c>
      <c r="AC80" s="11">
        <v>1</v>
      </c>
      <c r="AD80" s="11">
        <v>1</v>
      </c>
      <c r="AE80" s="11">
        <v>0</v>
      </c>
      <c r="AF80" s="11">
        <v>1</v>
      </c>
      <c r="AG80" s="11">
        <v>1</v>
      </c>
      <c r="AH80" s="11">
        <v>1</v>
      </c>
      <c r="AI80" s="11">
        <v>0</v>
      </c>
      <c r="AJ80" s="11">
        <v>0</v>
      </c>
      <c r="AK80" s="11">
        <v>0</v>
      </c>
      <c r="AL80" s="11">
        <v>1</v>
      </c>
      <c r="AM80" s="11">
        <v>1</v>
      </c>
      <c r="AN80" s="11">
        <v>0</v>
      </c>
      <c r="AO80" s="11">
        <v>0</v>
      </c>
      <c r="AP80" s="11">
        <v>0</v>
      </c>
      <c r="AQ80" s="11">
        <v>1</v>
      </c>
      <c r="AR80" s="11">
        <v>1</v>
      </c>
      <c r="AS80" s="11">
        <v>1</v>
      </c>
      <c r="AT80" s="11">
        <v>1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1</v>
      </c>
      <c r="BA80" s="11">
        <v>1</v>
      </c>
      <c r="BB80" s="11">
        <v>1</v>
      </c>
      <c r="BC80" s="11">
        <v>1</v>
      </c>
      <c r="BD80" s="11">
        <v>1</v>
      </c>
      <c r="BE80" s="11">
        <v>0</v>
      </c>
      <c r="BF80" s="11">
        <v>0</v>
      </c>
      <c r="BG80" s="5">
        <f t="shared" si="19"/>
        <v>125.27018187687301</v>
      </c>
      <c r="BH80" s="3">
        <f t="shared" si="20"/>
        <v>31.991314004725954</v>
      </c>
      <c r="BI80" s="3">
        <f t="shared" si="21"/>
        <v>23.008685995274046</v>
      </c>
      <c r="BJ80" s="3">
        <f t="shared" si="13"/>
        <v>0.32959263199659633</v>
      </c>
      <c r="BK80" s="3">
        <f t="shared" si="14"/>
        <v>-0.45609683602320777</v>
      </c>
      <c r="BL80" s="3">
        <f t="shared" si="15"/>
        <v>0.94333424358242735</v>
      </c>
      <c r="BM80" s="3">
        <f t="shared" si="16"/>
        <v>0.83288555818354704</v>
      </c>
      <c r="BN80" s="3">
        <f t="shared" si="17"/>
        <v>58.328855581835469</v>
      </c>
      <c r="BO80" s="2" t="str">
        <f t="shared" si="18"/>
        <v>B</v>
      </c>
    </row>
    <row r="81" spans="1:67" x14ac:dyDescent="0.35">
      <c r="A81" s="15">
        <v>80</v>
      </c>
      <c r="B81" s="10" t="s">
        <v>117</v>
      </c>
      <c r="C81" s="11">
        <v>36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  <c r="I81" s="11">
        <v>1</v>
      </c>
      <c r="J81" s="11">
        <v>1</v>
      </c>
      <c r="K81" s="11">
        <v>1</v>
      </c>
      <c r="L81" s="11">
        <v>1</v>
      </c>
      <c r="M81" s="11">
        <v>1</v>
      </c>
      <c r="N81" s="11">
        <v>1</v>
      </c>
      <c r="O81" s="11">
        <v>1</v>
      </c>
      <c r="P81" s="11">
        <v>1</v>
      </c>
      <c r="Q81" s="11">
        <v>1</v>
      </c>
      <c r="R81" s="11">
        <v>0</v>
      </c>
      <c r="S81" s="11">
        <v>0</v>
      </c>
      <c r="T81" s="11">
        <v>1</v>
      </c>
      <c r="U81" s="11">
        <v>1</v>
      </c>
      <c r="V81" s="11">
        <v>1</v>
      </c>
      <c r="W81" s="11">
        <v>1</v>
      </c>
      <c r="X81" s="11">
        <v>0</v>
      </c>
      <c r="Y81" s="11">
        <v>1</v>
      </c>
      <c r="Z81" s="11">
        <v>1</v>
      </c>
      <c r="AA81" s="11">
        <v>1</v>
      </c>
      <c r="AB81" s="11">
        <v>0</v>
      </c>
      <c r="AC81" s="11">
        <v>1</v>
      </c>
      <c r="AD81" s="11">
        <v>1</v>
      </c>
      <c r="AE81" s="11">
        <v>1</v>
      </c>
      <c r="AF81" s="11">
        <v>1</v>
      </c>
      <c r="AG81" s="11">
        <v>0</v>
      </c>
      <c r="AH81" s="11">
        <v>1</v>
      </c>
      <c r="AI81" s="11">
        <v>0</v>
      </c>
      <c r="AJ81" s="11">
        <v>0</v>
      </c>
      <c r="AK81" s="11">
        <v>0</v>
      </c>
      <c r="AL81" s="11">
        <v>1</v>
      </c>
      <c r="AM81" s="11">
        <v>1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1</v>
      </c>
      <c r="AX81" s="11">
        <v>1</v>
      </c>
      <c r="AY81" s="11">
        <v>0</v>
      </c>
      <c r="AZ81" s="11">
        <v>1</v>
      </c>
      <c r="BA81" s="11">
        <v>1</v>
      </c>
      <c r="BB81" s="11">
        <v>1</v>
      </c>
      <c r="BC81" s="11">
        <v>1</v>
      </c>
      <c r="BD81" s="11">
        <v>1</v>
      </c>
      <c r="BE81" s="11">
        <v>0</v>
      </c>
      <c r="BF81" s="11">
        <v>1</v>
      </c>
      <c r="BG81" s="5">
        <f t="shared" si="19"/>
        <v>124.73287421153415</v>
      </c>
      <c r="BH81" s="3">
        <f t="shared" si="20"/>
        <v>31.854097166836336</v>
      </c>
      <c r="BI81" s="3">
        <f t="shared" si="21"/>
        <v>23.145902833163664</v>
      </c>
      <c r="BJ81" s="3">
        <f t="shared" si="13"/>
        <v>0.31934823178576521</v>
      </c>
      <c r="BK81" s="3">
        <f t="shared" si="14"/>
        <v>-0.45609683602320777</v>
      </c>
      <c r="BL81" s="3">
        <f t="shared" si="15"/>
        <v>0.94333424358242735</v>
      </c>
      <c r="BM81" s="3">
        <f t="shared" si="16"/>
        <v>0.82202578045309305</v>
      </c>
      <c r="BN81" s="3">
        <f t="shared" si="17"/>
        <v>58.220257804530931</v>
      </c>
      <c r="BO81" s="2" t="str">
        <f t="shared" si="18"/>
        <v>B</v>
      </c>
    </row>
    <row r="82" spans="1:67" x14ac:dyDescent="0.35">
      <c r="A82" s="15">
        <v>81</v>
      </c>
      <c r="B82" s="12">
        <v>7033503</v>
      </c>
      <c r="C82" s="11">
        <v>37</v>
      </c>
      <c r="D82" s="11">
        <v>1</v>
      </c>
      <c r="E82" s="11">
        <v>1</v>
      </c>
      <c r="F82" s="11">
        <v>1</v>
      </c>
      <c r="G82" s="11">
        <v>1</v>
      </c>
      <c r="H82" s="11">
        <v>1</v>
      </c>
      <c r="I82" s="11">
        <v>1</v>
      </c>
      <c r="J82" s="11">
        <v>1</v>
      </c>
      <c r="K82" s="11">
        <v>1</v>
      </c>
      <c r="L82" s="11">
        <v>1</v>
      </c>
      <c r="M82" s="11">
        <v>1</v>
      </c>
      <c r="N82" s="11">
        <v>1</v>
      </c>
      <c r="O82" s="11">
        <v>1</v>
      </c>
      <c r="P82" s="11">
        <v>0</v>
      </c>
      <c r="Q82" s="11">
        <v>1</v>
      </c>
      <c r="R82" s="11">
        <v>1</v>
      </c>
      <c r="S82" s="11">
        <v>1</v>
      </c>
      <c r="T82" s="11">
        <v>1</v>
      </c>
      <c r="U82" s="11">
        <v>1</v>
      </c>
      <c r="V82" s="11">
        <v>1</v>
      </c>
      <c r="W82" s="11">
        <v>1</v>
      </c>
      <c r="X82" s="11">
        <v>1</v>
      </c>
      <c r="Y82" s="11">
        <v>1</v>
      </c>
      <c r="Z82" s="11">
        <v>0</v>
      </c>
      <c r="AA82" s="11">
        <v>1</v>
      </c>
      <c r="AB82" s="11">
        <v>0</v>
      </c>
      <c r="AC82" s="11">
        <v>1</v>
      </c>
      <c r="AD82" s="11">
        <v>0</v>
      </c>
      <c r="AE82" s="11">
        <v>1</v>
      </c>
      <c r="AF82" s="11">
        <v>1</v>
      </c>
      <c r="AG82" s="11">
        <v>0</v>
      </c>
      <c r="AH82" s="11">
        <v>1</v>
      </c>
      <c r="AI82" s="11">
        <v>0</v>
      </c>
      <c r="AJ82" s="11">
        <v>1</v>
      </c>
      <c r="AK82" s="11">
        <v>1</v>
      </c>
      <c r="AL82" s="11">
        <v>1</v>
      </c>
      <c r="AM82" s="11">
        <v>0</v>
      </c>
      <c r="AN82" s="11">
        <v>0</v>
      </c>
      <c r="AO82" s="11">
        <v>0</v>
      </c>
      <c r="AP82" s="11">
        <v>0</v>
      </c>
      <c r="AQ82" s="11">
        <v>1</v>
      </c>
      <c r="AR82" s="11">
        <v>1</v>
      </c>
      <c r="AS82" s="11">
        <v>1</v>
      </c>
      <c r="AT82" s="11">
        <v>1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1</v>
      </c>
      <c r="BA82" s="11">
        <v>1</v>
      </c>
      <c r="BB82" s="11">
        <v>1</v>
      </c>
      <c r="BC82" s="11">
        <v>0</v>
      </c>
      <c r="BD82" s="11">
        <v>1</v>
      </c>
      <c r="BE82" s="11">
        <v>0</v>
      </c>
      <c r="BF82" s="11">
        <v>0</v>
      </c>
      <c r="BG82" s="5">
        <f t="shared" si="19"/>
        <v>123.62749339687207</v>
      </c>
      <c r="BH82" s="3">
        <f t="shared" si="20"/>
        <v>31.571806647202447</v>
      </c>
      <c r="BI82" s="3">
        <f t="shared" si="21"/>
        <v>23.428193352797553</v>
      </c>
      <c r="BJ82" s="3">
        <f t="shared" si="13"/>
        <v>0.29832438638340908</v>
      </c>
      <c r="BK82" s="3">
        <f t="shared" si="14"/>
        <v>-0.45609683602320777</v>
      </c>
      <c r="BL82" s="3">
        <f t="shared" si="15"/>
        <v>0.94333424358242735</v>
      </c>
      <c r="BM82" s="3">
        <f t="shared" si="16"/>
        <v>0.79973904004757623</v>
      </c>
      <c r="BN82" s="3">
        <f t="shared" si="17"/>
        <v>57.997390400475766</v>
      </c>
      <c r="BO82" s="2" t="str">
        <f t="shared" si="18"/>
        <v>B</v>
      </c>
    </row>
    <row r="83" spans="1:67" x14ac:dyDescent="0.35">
      <c r="A83" s="1">
        <v>82</v>
      </c>
      <c r="B83" s="12">
        <v>2658086</v>
      </c>
      <c r="C83" s="11">
        <v>37</v>
      </c>
      <c r="D83" s="11">
        <v>1</v>
      </c>
      <c r="E83" s="11">
        <v>1</v>
      </c>
      <c r="F83" s="11">
        <v>1</v>
      </c>
      <c r="G83" s="11">
        <v>1</v>
      </c>
      <c r="H83" s="11">
        <v>1</v>
      </c>
      <c r="I83" s="11">
        <v>1</v>
      </c>
      <c r="J83" s="11">
        <v>1</v>
      </c>
      <c r="K83" s="11">
        <v>1</v>
      </c>
      <c r="L83" s="11">
        <v>1</v>
      </c>
      <c r="M83" s="11">
        <v>1</v>
      </c>
      <c r="N83" s="11">
        <v>1</v>
      </c>
      <c r="O83" s="11">
        <v>1</v>
      </c>
      <c r="P83" s="11">
        <v>1</v>
      </c>
      <c r="Q83" s="11">
        <v>1</v>
      </c>
      <c r="R83" s="11">
        <v>1</v>
      </c>
      <c r="S83" s="11">
        <v>1</v>
      </c>
      <c r="T83" s="11">
        <v>1</v>
      </c>
      <c r="U83" s="11">
        <v>0</v>
      </c>
      <c r="V83" s="11">
        <v>1</v>
      </c>
      <c r="W83" s="11">
        <v>1</v>
      </c>
      <c r="X83" s="11">
        <v>1</v>
      </c>
      <c r="Y83" s="11">
        <v>1</v>
      </c>
      <c r="Z83" s="11">
        <v>1</v>
      </c>
      <c r="AA83" s="11">
        <v>1</v>
      </c>
      <c r="AB83" s="11">
        <v>0</v>
      </c>
      <c r="AC83" s="11">
        <v>0</v>
      </c>
      <c r="AD83" s="11">
        <v>0</v>
      </c>
      <c r="AE83" s="11">
        <v>1</v>
      </c>
      <c r="AF83" s="11">
        <v>1</v>
      </c>
      <c r="AG83" s="11">
        <v>1</v>
      </c>
      <c r="AH83" s="11">
        <v>1</v>
      </c>
      <c r="AI83" s="11">
        <v>0</v>
      </c>
      <c r="AJ83" s="11">
        <v>1</v>
      </c>
      <c r="AK83" s="11">
        <v>1</v>
      </c>
      <c r="AL83" s="11">
        <v>1</v>
      </c>
      <c r="AM83" s="11">
        <v>0</v>
      </c>
      <c r="AN83" s="11">
        <v>0</v>
      </c>
      <c r="AO83" s="11">
        <v>0</v>
      </c>
      <c r="AP83" s="11">
        <v>0</v>
      </c>
      <c r="AQ83" s="11">
        <v>1</v>
      </c>
      <c r="AR83" s="11">
        <v>1</v>
      </c>
      <c r="AS83" s="11">
        <v>1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1</v>
      </c>
      <c r="BB83" s="11">
        <v>1</v>
      </c>
      <c r="BC83" s="11">
        <v>1</v>
      </c>
      <c r="BD83" s="11">
        <v>1</v>
      </c>
      <c r="BE83" s="11">
        <v>0</v>
      </c>
      <c r="BF83" s="11">
        <v>0</v>
      </c>
      <c r="BG83" s="5">
        <f t="shared" si="19"/>
        <v>123.34995623809071</v>
      </c>
      <c r="BH83" s="3">
        <f t="shared" si="20"/>
        <v>31.50092961755719</v>
      </c>
      <c r="BI83" s="3">
        <f t="shared" si="21"/>
        <v>23.49907038244281</v>
      </c>
      <c r="BJ83" s="3">
        <f t="shared" si="13"/>
        <v>0.29305619489086471</v>
      </c>
      <c r="BK83" s="3">
        <f t="shared" si="14"/>
        <v>-0.45609683602320777</v>
      </c>
      <c r="BL83" s="3">
        <f t="shared" si="15"/>
        <v>0.94333424358242735</v>
      </c>
      <c r="BM83" s="3">
        <f t="shared" si="16"/>
        <v>0.79415439014391342</v>
      </c>
      <c r="BN83" s="3">
        <f t="shared" si="17"/>
        <v>57.941543901439132</v>
      </c>
      <c r="BO83" s="2" t="str">
        <f t="shared" si="18"/>
        <v>B</v>
      </c>
    </row>
    <row r="84" spans="1:67" x14ac:dyDescent="0.35">
      <c r="A84" s="15">
        <v>83</v>
      </c>
      <c r="B84" s="12">
        <v>1000001</v>
      </c>
      <c r="C84" s="11">
        <v>36</v>
      </c>
      <c r="D84" s="11">
        <v>1</v>
      </c>
      <c r="E84" s="11">
        <v>0</v>
      </c>
      <c r="F84" s="11">
        <v>1</v>
      </c>
      <c r="G84" s="11">
        <v>1</v>
      </c>
      <c r="H84" s="11">
        <v>1</v>
      </c>
      <c r="I84" s="11">
        <v>1</v>
      </c>
      <c r="J84" s="11">
        <v>1</v>
      </c>
      <c r="K84" s="11">
        <v>1</v>
      </c>
      <c r="L84" s="11">
        <v>1</v>
      </c>
      <c r="M84" s="11">
        <v>1</v>
      </c>
      <c r="N84" s="11">
        <v>0</v>
      </c>
      <c r="O84" s="11">
        <v>1</v>
      </c>
      <c r="P84" s="11">
        <v>0</v>
      </c>
      <c r="Q84" s="11">
        <v>1</v>
      </c>
      <c r="R84" s="11">
        <v>1</v>
      </c>
      <c r="S84" s="11">
        <v>1</v>
      </c>
      <c r="T84" s="11">
        <v>1</v>
      </c>
      <c r="U84" s="11">
        <v>1</v>
      </c>
      <c r="V84" s="11">
        <v>1</v>
      </c>
      <c r="W84" s="11">
        <v>0</v>
      </c>
      <c r="X84" s="11">
        <v>1</v>
      </c>
      <c r="Y84" s="11">
        <v>1</v>
      </c>
      <c r="Z84" s="11">
        <v>1</v>
      </c>
      <c r="AA84" s="11">
        <v>0</v>
      </c>
      <c r="AB84" s="11">
        <v>0</v>
      </c>
      <c r="AC84" s="11">
        <v>1</v>
      </c>
      <c r="AD84" s="11">
        <v>1</v>
      </c>
      <c r="AE84" s="11">
        <v>1</v>
      </c>
      <c r="AF84" s="11">
        <v>1</v>
      </c>
      <c r="AG84" s="11">
        <v>1</v>
      </c>
      <c r="AH84" s="11">
        <v>1</v>
      </c>
      <c r="AI84" s="11">
        <v>0</v>
      </c>
      <c r="AJ84" s="11">
        <v>1</v>
      </c>
      <c r="AK84" s="11">
        <v>1</v>
      </c>
      <c r="AL84" s="11">
        <v>1</v>
      </c>
      <c r="AM84" s="11">
        <v>0</v>
      </c>
      <c r="AN84" s="11">
        <v>0</v>
      </c>
      <c r="AO84" s="11">
        <v>0</v>
      </c>
      <c r="AP84" s="11">
        <v>1</v>
      </c>
      <c r="AQ84" s="11">
        <v>1</v>
      </c>
      <c r="AR84" s="11">
        <v>1</v>
      </c>
      <c r="AS84" s="11">
        <v>1</v>
      </c>
      <c r="AT84" s="11">
        <v>0</v>
      </c>
      <c r="AU84" s="11">
        <v>0</v>
      </c>
      <c r="AV84" s="11">
        <v>1</v>
      </c>
      <c r="AW84" s="11">
        <v>0</v>
      </c>
      <c r="AX84" s="11">
        <v>0</v>
      </c>
      <c r="AY84" s="11">
        <v>0</v>
      </c>
      <c r="AZ84" s="11">
        <v>0</v>
      </c>
      <c r="BA84" s="11">
        <v>1</v>
      </c>
      <c r="BB84" s="11">
        <v>1</v>
      </c>
      <c r="BC84" s="11">
        <v>1</v>
      </c>
      <c r="BD84" s="11">
        <v>0</v>
      </c>
      <c r="BE84" s="11">
        <v>0</v>
      </c>
      <c r="BF84" s="11">
        <v>0</v>
      </c>
      <c r="BG84" s="5">
        <f t="shared" si="19"/>
        <v>123.00609720876515</v>
      </c>
      <c r="BH84" s="3">
        <f t="shared" si="20"/>
        <v>31.413115406579781</v>
      </c>
      <c r="BI84" s="3">
        <f t="shared" si="21"/>
        <v>23.586884593420219</v>
      </c>
      <c r="BJ84" s="3">
        <f t="shared" si="13"/>
        <v>0.28653467382918235</v>
      </c>
      <c r="BK84" s="3">
        <f t="shared" si="14"/>
        <v>-0.45609683602320777</v>
      </c>
      <c r="BL84" s="3">
        <f t="shared" si="15"/>
        <v>0.94333424358242735</v>
      </c>
      <c r="BM84" s="3">
        <f t="shared" si="16"/>
        <v>0.78724112360445642</v>
      </c>
      <c r="BN84" s="3">
        <f t="shared" si="17"/>
        <v>57.872411236044563</v>
      </c>
      <c r="BO84" s="2" t="str">
        <f t="shared" si="18"/>
        <v>B</v>
      </c>
    </row>
    <row r="85" spans="1:67" x14ac:dyDescent="0.35">
      <c r="A85" s="15">
        <v>84</v>
      </c>
      <c r="B85" s="10" t="s">
        <v>118</v>
      </c>
      <c r="C85" s="11">
        <v>36</v>
      </c>
      <c r="D85" s="11">
        <v>1</v>
      </c>
      <c r="E85" s="11">
        <v>1</v>
      </c>
      <c r="F85" s="11">
        <v>1</v>
      </c>
      <c r="G85" s="11">
        <v>1</v>
      </c>
      <c r="H85" s="11">
        <v>1</v>
      </c>
      <c r="I85" s="11">
        <v>1</v>
      </c>
      <c r="J85" s="11">
        <v>1</v>
      </c>
      <c r="K85" s="11">
        <v>1</v>
      </c>
      <c r="L85" s="11">
        <v>1</v>
      </c>
      <c r="M85" s="11">
        <v>1</v>
      </c>
      <c r="N85" s="11">
        <v>1</v>
      </c>
      <c r="O85" s="11">
        <v>1</v>
      </c>
      <c r="P85" s="11">
        <v>0</v>
      </c>
      <c r="Q85" s="11">
        <v>1</v>
      </c>
      <c r="R85" s="11">
        <v>0</v>
      </c>
      <c r="S85" s="11">
        <v>1</v>
      </c>
      <c r="T85" s="11">
        <v>1</v>
      </c>
      <c r="U85" s="11">
        <v>0</v>
      </c>
      <c r="V85" s="11">
        <v>1</v>
      </c>
      <c r="W85" s="11">
        <v>0</v>
      </c>
      <c r="X85" s="11">
        <v>1</v>
      </c>
      <c r="Y85" s="11">
        <v>1</v>
      </c>
      <c r="Z85" s="11">
        <v>1</v>
      </c>
      <c r="AA85" s="11">
        <v>0</v>
      </c>
      <c r="AB85" s="11">
        <v>1</v>
      </c>
      <c r="AC85" s="11">
        <v>1</v>
      </c>
      <c r="AD85" s="11">
        <v>1</v>
      </c>
      <c r="AE85" s="11">
        <v>1</v>
      </c>
      <c r="AF85" s="11">
        <v>1</v>
      </c>
      <c r="AG85" s="11">
        <v>1</v>
      </c>
      <c r="AH85" s="11">
        <v>0</v>
      </c>
      <c r="AI85" s="11">
        <v>0</v>
      </c>
      <c r="AJ85" s="11">
        <v>1</v>
      </c>
      <c r="AK85" s="11">
        <v>1</v>
      </c>
      <c r="AL85" s="11">
        <v>1</v>
      </c>
      <c r="AM85" s="11">
        <v>1</v>
      </c>
      <c r="AN85" s="11">
        <v>1</v>
      </c>
      <c r="AO85" s="11">
        <v>0</v>
      </c>
      <c r="AP85" s="11">
        <v>0</v>
      </c>
      <c r="AQ85" s="11">
        <v>0</v>
      </c>
      <c r="AR85" s="11">
        <v>1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1</v>
      </c>
      <c r="BA85" s="11">
        <v>1</v>
      </c>
      <c r="BB85" s="11">
        <v>1</v>
      </c>
      <c r="BC85" s="11">
        <v>1</v>
      </c>
      <c r="BD85" s="11">
        <v>1</v>
      </c>
      <c r="BE85" s="11">
        <v>0</v>
      </c>
      <c r="BF85" s="11">
        <v>0</v>
      </c>
      <c r="BG85" s="5">
        <f t="shared" si="19"/>
        <v>121.78360230411766</v>
      </c>
      <c r="BH85" s="3">
        <f t="shared" si="20"/>
        <v>31.100916463640626</v>
      </c>
      <c r="BI85" s="3">
        <f t="shared" si="21"/>
        <v>23.899083536359374</v>
      </c>
      <c r="BJ85" s="3">
        <f t="shared" si="13"/>
        <v>0.26339717459204604</v>
      </c>
      <c r="BK85" s="3">
        <f t="shared" si="14"/>
        <v>-0.45609683602320777</v>
      </c>
      <c r="BL85" s="3">
        <f t="shared" si="15"/>
        <v>0.94333424358242735</v>
      </c>
      <c r="BM85" s="3">
        <f t="shared" si="16"/>
        <v>0.76271376292128146</v>
      </c>
      <c r="BN85" s="3">
        <f t="shared" si="17"/>
        <v>57.627137629212811</v>
      </c>
      <c r="BO85" s="2" t="str">
        <f t="shared" si="18"/>
        <v>B</v>
      </c>
    </row>
    <row r="86" spans="1:67" x14ac:dyDescent="0.35">
      <c r="A86" s="1">
        <v>85</v>
      </c>
      <c r="B86" s="10" t="s">
        <v>119</v>
      </c>
      <c r="C86" s="11">
        <v>35</v>
      </c>
      <c r="D86" s="11">
        <v>0</v>
      </c>
      <c r="E86" s="11">
        <v>1</v>
      </c>
      <c r="F86" s="11">
        <v>1</v>
      </c>
      <c r="G86" s="11">
        <v>1</v>
      </c>
      <c r="H86" s="11">
        <v>1</v>
      </c>
      <c r="I86" s="11">
        <v>0</v>
      </c>
      <c r="J86" s="11">
        <v>1</v>
      </c>
      <c r="K86" s="11">
        <v>1</v>
      </c>
      <c r="L86" s="11">
        <v>0</v>
      </c>
      <c r="M86" s="11">
        <v>1</v>
      </c>
      <c r="N86" s="11">
        <v>1</v>
      </c>
      <c r="O86" s="11">
        <v>1</v>
      </c>
      <c r="P86" s="11">
        <v>1</v>
      </c>
      <c r="Q86" s="11">
        <v>1</v>
      </c>
      <c r="R86" s="11">
        <v>0</v>
      </c>
      <c r="S86" s="11">
        <v>1</v>
      </c>
      <c r="T86" s="11">
        <v>1</v>
      </c>
      <c r="U86" s="11">
        <v>1</v>
      </c>
      <c r="V86" s="11">
        <v>0</v>
      </c>
      <c r="W86" s="11">
        <v>1</v>
      </c>
      <c r="X86" s="11">
        <v>1</v>
      </c>
      <c r="Y86" s="11">
        <v>1</v>
      </c>
      <c r="Z86" s="11">
        <v>1</v>
      </c>
      <c r="AA86" s="11">
        <v>1</v>
      </c>
      <c r="AB86" s="11">
        <v>0</v>
      </c>
      <c r="AC86" s="11">
        <v>0</v>
      </c>
      <c r="AD86" s="11">
        <v>0</v>
      </c>
      <c r="AE86" s="11">
        <v>1</v>
      </c>
      <c r="AF86" s="11">
        <v>1</v>
      </c>
      <c r="AG86" s="11">
        <v>1</v>
      </c>
      <c r="AH86" s="11">
        <v>1</v>
      </c>
      <c r="AI86" s="11">
        <v>1</v>
      </c>
      <c r="AJ86" s="11">
        <v>1</v>
      </c>
      <c r="AK86" s="11">
        <v>1</v>
      </c>
      <c r="AL86" s="11">
        <v>1</v>
      </c>
      <c r="AM86" s="11">
        <v>1</v>
      </c>
      <c r="AN86" s="11">
        <v>1</v>
      </c>
      <c r="AO86" s="11">
        <v>1</v>
      </c>
      <c r="AP86" s="11">
        <v>1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1</v>
      </c>
      <c r="BB86" s="11">
        <v>1</v>
      </c>
      <c r="BC86" s="11">
        <v>1</v>
      </c>
      <c r="BD86" s="11">
        <v>1</v>
      </c>
      <c r="BE86" s="11">
        <v>0</v>
      </c>
      <c r="BF86" s="11">
        <v>0</v>
      </c>
      <c r="BG86" s="5">
        <f t="shared" si="19"/>
        <v>121.75737702200669</v>
      </c>
      <c r="BH86" s="3">
        <f t="shared" si="20"/>
        <v>31.094219089833835</v>
      </c>
      <c r="BI86" s="3">
        <f t="shared" si="21"/>
        <v>23.905780910166165</v>
      </c>
      <c r="BJ86" s="3">
        <f t="shared" si="13"/>
        <v>0.26290161177539756</v>
      </c>
      <c r="BK86" s="3">
        <f t="shared" si="14"/>
        <v>-0.45609683602320777</v>
      </c>
      <c r="BL86" s="3">
        <f t="shared" si="15"/>
        <v>0.94333424358242735</v>
      </c>
      <c r="BM86" s="3">
        <f t="shared" si="16"/>
        <v>0.76218843182043372</v>
      </c>
      <c r="BN86" s="3">
        <f t="shared" si="17"/>
        <v>57.621884318204337</v>
      </c>
      <c r="BO86" s="2" t="str">
        <f t="shared" si="18"/>
        <v>B</v>
      </c>
    </row>
    <row r="87" spans="1:67" x14ac:dyDescent="0.35">
      <c r="A87" s="15">
        <v>86</v>
      </c>
      <c r="B87" s="10" t="s">
        <v>120</v>
      </c>
      <c r="C87" s="11">
        <v>35</v>
      </c>
      <c r="D87" s="11">
        <v>1</v>
      </c>
      <c r="E87" s="11">
        <v>1</v>
      </c>
      <c r="F87" s="11">
        <v>1</v>
      </c>
      <c r="G87" s="11">
        <v>1</v>
      </c>
      <c r="H87" s="11">
        <v>1</v>
      </c>
      <c r="I87" s="11">
        <v>1</v>
      </c>
      <c r="J87" s="11">
        <v>1</v>
      </c>
      <c r="K87" s="11">
        <v>1</v>
      </c>
      <c r="L87" s="11">
        <v>1</v>
      </c>
      <c r="M87" s="11">
        <v>1</v>
      </c>
      <c r="N87" s="11">
        <v>1</v>
      </c>
      <c r="O87" s="11">
        <v>1</v>
      </c>
      <c r="P87" s="11">
        <v>1</v>
      </c>
      <c r="Q87" s="11">
        <v>1</v>
      </c>
      <c r="R87" s="11">
        <v>0</v>
      </c>
      <c r="S87" s="11">
        <v>1</v>
      </c>
      <c r="T87" s="11">
        <v>1</v>
      </c>
      <c r="U87" s="11">
        <v>1</v>
      </c>
      <c r="V87" s="11">
        <v>0</v>
      </c>
      <c r="W87" s="11">
        <v>1</v>
      </c>
      <c r="X87" s="11">
        <v>1</v>
      </c>
      <c r="Y87" s="11">
        <v>1</v>
      </c>
      <c r="Z87" s="11">
        <v>0</v>
      </c>
      <c r="AA87" s="11">
        <v>0</v>
      </c>
      <c r="AB87" s="11">
        <v>0</v>
      </c>
      <c r="AC87" s="11">
        <v>1</v>
      </c>
      <c r="AD87" s="11">
        <v>1</v>
      </c>
      <c r="AE87" s="11">
        <v>1</v>
      </c>
      <c r="AF87" s="11">
        <v>1</v>
      </c>
      <c r="AG87" s="11">
        <v>0</v>
      </c>
      <c r="AH87" s="11">
        <v>0</v>
      </c>
      <c r="AI87" s="11">
        <v>0</v>
      </c>
      <c r="AJ87" s="11">
        <v>1</v>
      </c>
      <c r="AK87" s="11">
        <v>1</v>
      </c>
      <c r="AL87" s="11">
        <v>1</v>
      </c>
      <c r="AM87" s="11">
        <v>0</v>
      </c>
      <c r="AN87" s="11">
        <v>0</v>
      </c>
      <c r="AO87" s="11">
        <v>1</v>
      </c>
      <c r="AP87" s="11">
        <v>1</v>
      </c>
      <c r="AQ87" s="11">
        <v>0</v>
      </c>
      <c r="AR87" s="11">
        <v>0</v>
      </c>
      <c r="AS87" s="11">
        <v>1</v>
      </c>
      <c r="AT87" s="11">
        <v>0</v>
      </c>
      <c r="AU87" s="11">
        <v>0</v>
      </c>
      <c r="AV87" s="11">
        <v>0</v>
      </c>
      <c r="AW87" s="11">
        <v>1</v>
      </c>
      <c r="AX87" s="11">
        <v>1</v>
      </c>
      <c r="AY87" s="11">
        <v>0</v>
      </c>
      <c r="AZ87" s="11">
        <v>1</v>
      </c>
      <c r="BA87" s="11">
        <v>0</v>
      </c>
      <c r="BB87" s="11">
        <v>0</v>
      </c>
      <c r="BC87" s="11">
        <v>1</v>
      </c>
      <c r="BD87" s="11">
        <v>1</v>
      </c>
      <c r="BE87" s="11">
        <v>0</v>
      </c>
      <c r="BF87" s="11">
        <v>0</v>
      </c>
      <c r="BG87" s="5">
        <f t="shared" si="19"/>
        <v>121.59555297611647</v>
      </c>
      <c r="BH87" s="3">
        <f t="shared" si="20"/>
        <v>31.052892704032956</v>
      </c>
      <c r="BI87" s="3">
        <f t="shared" si="21"/>
        <v>23.947107295967044</v>
      </c>
      <c r="BJ87" s="3">
        <f t="shared" si="13"/>
        <v>0.25984443121028761</v>
      </c>
      <c r="BK87" s="3">
        <f t="shared" si="14"/>
        <v>-0.45609683602320777</v>
      </c>
      <c r="BL87" s="3">
        <f t="shared" si="15"/>
        <v>0.94333424358242735</v>
      </c>
      <c r="BM87" s="3">
        <f t="shared" si="16"/>
        <v>0.75894760749341683</v>
      </c>
      <c r="BN87" s="3">
        <f t="shared" si="17"/>
        <v>57.589476074934169</v>
      </c>
      <c r="BO87" s="2" t="str">
        <f t="shared" si="18"/>
        <v>B</v>
      </c>
    </row>
    <row r="88" spans="1:67" x14ac:dyDescent="0.35">
      <c r="A88" s="15">
        <v>87</v>
      </c>
      <c r="B88" s="10" t="s">
        <v>121</v>
      </c>
      <c r="C88" s="11">
        <v>36</v>
      </c>
      <c r="D88" s="11">
        <v>1</v>
      </c>
      <c r="E88" s="11">
        <v>1</v>
      </c>
      <c r="F88" s="11">
        <v>1</v>
      </c>
      <c r="G88" s="11">
        <v>1</v>
      </c>
      <c r="H88" s="11">
        <v>1</v>
      </c>
      <c r="I88" s="11">
        <v>1</v>
      </c>
      <c r="J88" s="11">
        <v>1</v>
      </c>
      <c r="K88" s="11">
        <v>1</v>
      </c>
      <c r="L88" s="11">
        <v>1</v>
      </c>
      <c r="M88" s="11">
        <v>1</v>
      </c>
      <c r="N88" s="11">
        <v>1</v>
      </c>
      <c r="O88" s="11">
        <v>1</v>
      </c>
      <c r="P88" s="11">
        <v>1</v>
      </c>
      <c r="Q88" s="11">
        <v>1</v>
      </c>
      <c r="R88" s="11">
        <v>0</v>
      </c>
      <c r="S88" s="11">
        <v>1</v>
      </c>
      <c r="T88" s="11">
        <v>1</v>
      </c>
      <c r="U88" s="11">
        <v>1</v>
      </c>
      <c r="V88" s="11">
        <v>1</v>
      </c>
      <c r="W88" s="11">
        <v>0</v>
      </c>
      <c r="X88" s="11">
        <v>1</v>
      </c>
      <c r="Y88" s="11">
        <v>1</v>
      </c>
      <c r="Z88" s="11">
        <v>1</v>
      </c>
      <c r="AA88" s="11">
        <v>0</v>
      </c>
      <c r="AB88" s="11">
        <v>0</v>
      </c>
      <c r="AC88" s="11">
        <v>1</v>
      </c>
      <c r="AD88" s="11">
        <v>1</v>
      </c>
      <c r="AE88" s="11">
        <v>1</v>
      </c>
      <c r="AF88" s="11">
        <v>1</v>
      </c>
      <c r="AG88" s="11">
        <v>1</v>
      </c>
      <c r="AH88" s="11">
        <v>1</v>
      </c>
      <c r="AI88" s="11">
        <v>0</v>
      </c>
      <c r="AJ88" s="11">
        <v>0</v>
      </c>
      <c r="AK88" s="11">
        <v>0</v>
      </c>
      <c r="AL88" s="11">
        <v>0</v>
      </c>
      <c r="AM88" s="11">
        <v>1</v>
      </c>
      <c r="AN88" s="11">
        <v>1</v>
      </c>
      <c r="AO88" s="11">
        <v>1</v>
      </c>
      <c r="AP88" s="11">
        <v>1</v>
      </c>
      <c r="AQ88" s="11">
        <v>0</v>
      </c>
      <c r="AR88" s="11">
        <v>0</v>
      </c>
      <c r="AS88" s="11">
        <v>0</v>
      </c>
      <c r="AT88" s="11">
        <v>1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1</v>
      </c>
      <c r="BA88" s="11">
        <v>1</v>
      </c>
      <c r="BB88" s="11">
        <v>1</v>
      </c>
      <c r="BC88" s="11">
        <v>1</v>
      </c>
      <c r="BD88" s="11">
        <v>0</v>
      </c>
      <c r="BE88" s="11">
        <v>0</v>
      </c>
      <c r="BF88" s="11">
        <v>0</v>
      </c>
      <c r="BG88" s="5">
        <f t="shared" si="19"/>
        <v>121.32533525636394</v>
      </c>
      <c r="BH88" s="3">
        <f t="shared" si="20"/>
        <v>30.983884901914966</v>
      </c>
      <c r="BI88" s="3">
        <f t="shared" si="21"/>
        <v>24.016115098085034</v>
      </c>
      <c r="BJ88" s="3">
        <f t="shared" si="13"/>
        <v>0.25474216000867789</v>
      </c>
      <c r="BK88" s="3">
        <f t="shared" si="14"/>
        <v>-0.45609683602320777</v>
      </c>
      <c r="BL88" s="3">
        <f t="shared" si="15"/>
        <v>0.94333424358242735</v>
      </c>
      <c r="BM88" s="3">
        <f t="shared" si="16"/>
        <v>0.75353884465424215</v>
      </c>
      <c r="BN88" s="3">
        <f t="shared" si="17"/>
        <v>57.53538844654242</v>
      </c>
      <c r="BO88" s="2" t="str">
        <f t="shared" si="18"/>
        <v>B</v>
      </c>
    </row>
    <row r="89" spans="1:67" x14ac:dyDescent="0.35">
      <c r="A89" s="1">
        <v>88</v>
      </c>
      <c r="B89" s="10" t="s">
        <v>122</v>
      </c>
      <c r="C89" s="11">
        <v>35</v>
      </c>
      <c r="D89" s="11">
        <v>0</v>
      </c>
      <c r="E89" s="11">
        <v>1</v>
      </c>
      <c r="F89" s="11">
        <v>1</v>
      </c>
      <c r="G89" s="11">
        <v>1</v>
      </c>
      <c r="H89" s="11">
        <v>1</v>
      </c>
      <c r="I89" s="11">
        <v>1</v>
      </c>
      <c r="J89" s="11">
        <v>1</v>
      </c>
      <c r="K89" s="11">
        <v>1</v>
      </c>
      <c r="L89" s="11">
        <v>1</v>
      </c>
      <c r="M89" s="11">
        <v>1</v>
      </c>
      <c r="N89" s="11">
        <v>1</v>
      </c>
      <c r="O89" s="11">
        <v>1</v>
      </c>
      <c r="P89" s="11">
        <v>1</v>
      </c>
      <c r="Q89" s="11">
        <v>1</v>
      </c>
      <c r="R89" s="11">
        <v>1</v>
      </c>
      <c r="S89" s="11">
        <v>1</v>
      </c>
      <c r="T89" s="11">
        <v>1</v>
      </c>
      <c r="U89" s="11">
        <v>1</v>
      </c>
      <c r="V89" s="11">
        <v>0</v>
      </c>
      <c r="W89" s="11">
        <v>1</v>
      </c>
      <c r="X89" s="11">
        <v>0</v>
      </c>
      <c r="Y89" s="11">
        <v>0</v>
      </c>
      <c r="Z89" s="11">
        <v>1</v>
      </c>
      <c r="AA89" s="11">
        <v>1</v>
      </c>
      <c r="AB89" s="11">
        <v>1</v>
      </c>
      <c r="AC89" s="11">
        <v>0</v>
      </c>
      <c r="AD89" s="11">
        <v>1</v>
      </c>
      <c r="AE89" s="11">
        <v>1</v>
      </c>
      <c r="AF89" s="11">
        <v>1</v>
      </c>
      <c r="AG89" s="11">
        <v>0</v>
      </c>
      <c r="AH89" s="11">
        <v>1</v>
      </c>
      <c r="AI89" s="11">
        <v>1</v>
      </c>
      <c r="AJ89" s="11">
        <v>1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1</v>
      </c>
      <c r="AR89" s="11">
        <v>1</v>
      </c>
      <c r="AS89" s="11">
        <v>1</v>
      </c>
      <c r="AT89" s="11">
        <v>1</v>
      </c>
      <c r="AU89" s="11">
        <v>1</v>
      </c>
      <c r="AV89" s="11">
        <v>1</v>
      </c>
      <c r="AW89" s="11">
        <v>0</v>
      </c>
      <c r="AX89" s="11">
        <v>0</v>
      </c>
      <c r="AY89" s="11">
        <v>0</v>
      </c>
      <c r="AZ89" s="11">
        <v>0</v>
      </c>
      <c r="BA89" s="11">
        <v>1</v>
      </c>
      <c r="BB89" s="11">
        <v>1</v>
      </c>
      <c r="BC89" s="11">
        <v>0</v>
      </c>
      <c r="BD89" s="11">
        <v>0</v>
      </c>
      <c r="BE89" s="11">
        <v>0</v>
      </c>
      <c r="BF89" s="11">
        <v>0</v>
      </c>
      <c r="BG89" s="5">
        <f t="shared" si="19"/>
        <v>121.3073600553946</v>
      </c>
      <c r="BH89" s="3">
        <f t="shared" si="20"/>
        <v>30.979294421643502</v>
      </c>
      <c r="BI89" s="3">
        <f t="shared" si="21"/>
        <v>24.020705578356498</v>
      </c>
      <c r="BJ89" s="3">
        <f t="shared" si="13"/>
        <v>0.25440286860373418</v>
      </c>
      <c r="BK89" s="3">
        <f t="shared" si="14"/>
        <v>-0.45609683602320777</v>
      </c>
      <c r="BL89" s="3">
        <f t="shared" si="15"/>
        <v>0.94333424358242735</v>
      </c>
      <c r="BM89" s="3">
        <f t="shared" si="16"/>
        <v>0.75317917213386876</v>
      </c>
      <c r="BN89" s="3">
        <f t="shared" si="17"/>
        <v>57.531791721338685</v>
      </c>
      <c r="BO89" s="2" t="str">
        <f t="shared" si="18"/>
        <v>B</v>
      </c>
    </row>
    <row r="90" spans="1:67" x14ac:dyDescent="0.35">
      <c r="A90" s="15">
        <v>89</v>
      </c>
      <c r="B90" s="10" t="s">
        <v>123</v>
      </c>
      <c r="C90" s="11">
        <v>36</v>
      </c>
      <c r="D90" s="11">
        <v>1</v>
      </c>
      <c r="E90" s="11">
        <v>1</v>
      </c>
      <c r="F90" s="11">
        <v>1</v>
      </c>
      <c r="G90" s="11">
        <v>1</v>
      </c>
      <c r="H90" s="11">
        <v>1</v>
      </c>
      <c r="I90" s="11">
        <v>1</v>
      </c>
      <c r="J90" s="11">
        <v>1</v>
      </c>
      <c r="K90" s="11">
        <v>1</v>
      </c>
      <c r="L90" s="11">
        <v>1</v>
      </c>
      <c r="M90" s="11">
        <v>1</v>
      </c>
      <c r="N90" s="11">
        <v>0</v>
      </c>
      <c r="O90" s="11">
        <v>1</v>
      </c>
      <c r="P90" s="11">
        <v>1</v>
      </c>
      <c r="Q90" s="11">
        <v>1</v>
      </c>
      <c r="R90" s="11">
        <v>1</v>
      </c>
      <c r="S90" s="11">
        <v>1</v>
      </c>
      <c r="T90" s="11">
        <v>1</v>
      </c>
      <c r="U90" s="11">
        <v>1</v>
      </c>
      <c r="V90" s="11">
        <v>1</v>
      </c>
      <c r="W90" s="11">
        <v>1</v>
      </c>
      <c r="X90" s="11">
        <v>0</v>
      </c>
      <c r="Y90" s="11">
        <v>1</v>
      </c>
      <c r="Z90" s="11">
        <v>0</v>
      </c>
      <c r="AA90" s="11">
        <v>1</v>
      </c>
      <c r="AB90" s="11">
        <v>1</v>
      </c>
      <c r="AC90" s="11">
        <v>0</v>
      </c>
      <c r="AD90" s="11">
        <v>0</v>
      </c>
      <c r="AE90" s="11">
        <v>1</v>
      </c>
      <c r="AF90" s="11">
        <v>1</v>
      </c>
      <c r="AG90" s="11">
        <v>1</v>
      </c>
      <c r="AH90" s="11">
        <v>1</v>
      </c>
      <c r="AI90" s="11">
        <v>1</v>
      </c>
      <c r="AJ90" s="11">
        <v>1</v>
      </c>
      <c r="AK90" s="11">
        <v>1</v>
      </c>
      <c r="AL90" s="11">
        <v>1</v>
      </c>
      <c r="AM90" s="11">
        <v>0</v>
      </c>
      <c r="AN90" s="11">
        <v>0</v>
      </c>
      <c r="AO90" s="11">
        <v>0</v>
      </c>
      <c r="AP90" s="11">
        <v>0</v>
      </c>
      <c r="AQ90" s="11">
        <v>1</v>
      </c>
      <c r="AR90" s="11">
        <v>0</v>
      </c>
      <c r="AS90" s="11">
        <v>0</v>
      </c>
      <c r="AT90" s="11">
        <v>0</v>
      </c>
      <c r="AU90" s="11">
        <v>0</v>
      </c>
      <c r="AV90" s="11">
        <v>1</v>
      </c>
      <c r="AW90" s="11">
        <v>0</v>
      </c>
      <c r="AX90" s="11">
        <v>0</v>
      </c>
      <c r="AY90" s="11">
        <v>0</v>
      </c>
      <c r="AZ90" s="11">
        <v>0</v>
      </c>
      <c r="BA90" s="11">
        <v>1</v>
      </c>
      <c r="BB90" s="11">
        <v>1</v>
      </c>
      <c r="BC90" s="11">
        <v>1</v>
      </c>
      <c r="BD90" s="11">
        <v>1</v>
      </c>
      <c r="BE90" s="11">
        <v>0</v>
      </c>
      <c r="BF90" s="11">
        <v>0</v>
      </c>
      <c r="BG90" s="5">
        <f t="shared" si="19"/>
        <v>121.24207776337778</v>
      </c>
      <c r="BH90" s="3">
        <f t="shared" si="20"/>
        <v>30.962622726340058</v>
      </c>
      <c r="BI90" s="3">
        <f t="shared" si="21"/>
        <v>24.037377273659942</v>
      </c>
      <c r="BJ90" s="3">
        <f t="shared" si="13"/>
        <v>0.25317075323473398</v>
      </c>
      <c r="BK90" s="3">
        <f t="shared" si="14"/>
        <v>-0.45609683602320777</v>
      </c>
      <c r="BL90" s="3">
        <f t="shared" si="15"/>
        <v>0.94333424358242735</v>
      </c>
      <c r="BM90" s="3">
        <f t="shared" si="16"/>
        <v>0.75187304402775756</v>
      </c>
      <c r="BN90" s="3">
        <f t="shared" si="17"/>
        <v>57.518730440277579</v>
      </c>
      <c r="BO90" s="2" t="str">
        <f t="shared" si="18"/>
        <v>B</v>
      </c>
    </row>
    <row r="91" spans="1:67" x14ac:dyDescent="0.35">
      <c r="A91" s="15">
        <v>90</v>
      </c>
      <c r="B91" s="10" t="s">
        <v>124</v>
      </c>
      <c r="C91" s="11">
        <v>35</v>
      </c>
      <c r="D91" s="11">
        <v>1</v>
      </c>
      <c r="E91" s="11">
        <v>1</v>
      </c>
      <c r="F91" s="11">
        <v>1</v>
      </c>
      <c r="G91" s="11">
        <v>1</v>
      </c>
      <c r="H91" s="11">
        <v>1</v>
      </c>
      <c r="I91" s="11">
        <v>0</v>
      </c>
      <c r="J91" s="11">
        <v>1</v>
      </c>
      <c r="K91" s="11">
        <v>1</v>
      </c>
      <c r="L91" s="11">
        <v>0</v>
      </c>
      <c r="M91" s="11">
        <v>1</v>
      </c>
      <c r="N91" s="11">
        <v>0</v>
      </c>
      <c r="O91" s="11">
        <v>0</v>
      </c>
      <c r="P91" s="11">
        <v>1</v>
      </c>
      <c r="Q91" s="11">
        <v>1</v>
      </c>
      <c r="R91" s="11">
        <v>0</v>
      </c>
      <c r="S91" s="11">
        <v>1</v>
      </c>
      <c r="T91" s="11">
        <v>1</v>
      </c>
      <c r="U91" s="11">
        <v>0</v>
      </c>
      <c r="V91" s="11">
        <v>1</v>
      </c>
      <c r="W91" s="11">
        <v>1</v>
      </c>
      <c r="X91" s="11">
        <v>1</v>
      </c>
      <c r="Y91" s="11">
        <v>1</v>
      </c>
      <c r="Z91" s="11">
        <v>1</v>
      </c>
      <c r="AA91" s="11">
        <v>0</v>
      </c>
      <c r="AB91" s="11">
        <v>1</v>
      </c>
      <c r="AC91" s="11">
        <v>1</v>
      </c>
      <c r="AD91" s="11">
        <v>1</v>
      </c>
      <c r="AE91" s="11">
        <v>1</v>
      </c>
      <c r="AF91" s="11">
        <v>1</v>
      </c>
      <c r="AG91" s="11">
        <v>1</v>
      </c>
      <c r="AH91" s="11">
        <v>1</v>
      </c>
      <c r="AI91" s="11">
        <v>1</v>
      </c>
      <c r="AJ91" s="11">
        <v>1</v>
      </c>
      <c r="AK91" s="11">
        <v>1</v>
      </c>
      <c r="AL91" s="11">
        <v>1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1</v>
      </c>
      <c r="AS91" s="11">
        <v>0</v>
      </c>
      <c r="AT91" s="11">
        <v>1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1</v>
      </c>
      <c r="BB91" s="11">
        <v>1</v>
      </c>
      <c r="BC91" s="11">
        <v>1</v>
      </c>
      <c r="BD91" s="11">
        <v>1</v>
      </c>
      <c r="BE91" s="11">
        <v>0</v>
      </c>
      <c r="BF91" s="11">
        <v>1</v>
      </c>
      <c r="BG91" s="5">
        <f t="shared" si="19"/>
        <v>120.72249968030101</v>
      </c>
      <c r="BH91" s="3">
        <f t="shared" si="20"/>
        <v>30.82993364297926</v>
      </c>
      <c r="BI91" s="3">
        <f t="shared" si="21"/>
        <v>24.17006635702074</v>
      </c>
      <c r="BJ91" s="3">
        <f t="shared" si="13"/>
        <v>0.24337114940276647</v>
      </c>
      <c r="BK91" s="3">
        <f t="shared" si="14"/>
        <v>-0.45609683602320777</v>
      </c>
      <c r="BL91" s="3">
        <f t="shared" si="15"/>
        <v>0.94333424358242735</v>
      </c>
      <c r="BM91" s="3">
        <f t="shared" si="16"/>
        <v>0.74148478143829366</v>
      </c>
      <c r="BN91" s="3">
        <f t="shared" si="17"/>
        <v>57.414847814382938</v>
      </c>
      <c r="BO91" s="2" t="str">
        <f t="shared" si="18"/>
        <v>B</v>
      </c>
    </row>
    <row r="92" spans="1:67" x14ac:dyDescent="0.35">
      <c r="A92" s="1">
        <v>91</v>
      </c>
      <c r="B92" s="10" t="s">
        <v>125</v>
      </c>
      <c r="C92" s="11">
        <v>35</v>
      </c>
      <c r="D92" s="11">
        <v>0</v>
      </c>
      <c r="E92" s="11">
        <v>1</v>
      </c>
      <c r="F92" s="11">
        <v>1</v>
      </c>
      <c r="G92" s="11">
        <v>1</v>
      </c>
      <c r="H92" s="11">
        <v>1</v>
      </c>
      <c r="I92" s="11">
        <v>1</v>
      </c>
      <c r="J92" s="11">
        <v>1</v>
      </c>
      <c r="K92" s="11">
        <v>1</v>
      </c>
      <c r="L92" s="11">
        <v>1</v>
      </c>
      <c r="M92" s="11">
        <v>1</v>
      </c>
      <c r="N92" s="11">
        <v>1</v>
      </c>
      <c r="O92" s="11">
        <v>1</v>
      </c>
      <c r="P92" s="11">
        <v>1</v>
      </c>
      <c r="Q92" s="11">
        <v>1</v>
      </c>
      <c r="R92" s="11">
        <v>0</v>
      </c>
      <c r="S92" s="11">
        <v>1</v>
      </c>
      <c r="T92" s="11">
        <v>1</v>
      </c>
      <c r="U92" s="11">
        <v>0</v>
      </c>
      <c r="V92" s="11">
        <v>1</v>
      </c>
      <c r="W92" s="11">
        <v>1</v>
      </c>
      <c r="X92" s="11">
        <v>1</v>
      </c>
      <c r="Y92" s="11">
        <v>1</v>
      </c>
      <c r="Z92" s="11">
        <v>1</v>
      </c>
      <c r="AA92" s="11">
        <v>1</v>
      </c>
      <c r="AB92" s="11">
        <v>1</v>
      </c>
      <c r="AC92" s="11">
        <v>0</v>
      </c>
      <c r="AD92" s="11">
        <v>1</v>
      </c>
      <c r="AE92" s="11">
        <v>1</v>
      </c>
      <c r="AF92" s="11">
        <v>1</v>
      </c>
      <c r="AG92" s="11">
        <v>1</v>
      </c>
      <c r="AH92" s="11">
        <v>1</v>
      </c>
      <c r="AI92" s="11">
        <v>0</v>
      </c>
      <c r="AJ92" s="11">
        <v>1</v>
      </c>
      <c r="AK92" s="11">
        <v>1</v>
      </c>
      <c r="AL92" s="11">
        <v>0</v>
      </c>
      <c r="AM92" s="11">
        <v>1</v>
      </c>
      <c r="AN92" s="11">
        <v>1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1</v>
      </c>
      <c r="AU92" s="11">
        <v>0</v>
      </c>
      <c r="AV92" s="11">
        <v>1</v>
      </c>
      <c r="AW92" s="11">
        <v>0</v>
      </c>
      <c r="AX92" s="11">
        <v>0</v>
      </c>
      <c r="AY92" s="11">
        <v>1</v>
      </c>
      <c r="AZ92" s="11">
        <v>1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5">
        <f t="shared" si="19"/>
        <v>120.02147349867057</v>
      </c>
      <c r="BH92" s="3">
        <f t="shared" si="20"/>
        <v>30.650906612236092</v>
      </c>
      <c r="BI92" s="3">
        <f t="shared" si="21"/>
        <v>24.349093387763908</v>
      </c>
      <c r="BJ92" s="3">
        <f t="shared" si="13"/>
        <v>0.23016762516297393</v>
      </c>
      <c r="BK92" s="3">
        <f t="shared" si="14"/>
        <v>-0.45609683602320777</v>
      </c>
      <c r="BL92" s="3">
        <f t="shared" si="15"/>
        <v>0.94333424358242735</v>
      </c>
      <c r="BM92" s="3">
        <f t="shared" si="16"/>
        <v>0.72748812613862968</v>
      </c>
      <c r="BN92" s="3">
        <f t="shared" si="17"/>
        <v>57.274881261386298</v>
      </c>
      <c r="BO92" s="2" t="str">
        <f t="shared" si="18"/>
        <v>B</v>
      </c>
    </row>
    <row r="93" spans="1:67" x14ac:dyDescent="0.35">
      <c r="A93" s="15">
        <v>92</v>
      </c>
      <c r="B93" s="10" t="s">
        <v>126</v>
      </c>
      <c r="C93" s="11">
        <v>35</v>
      </c>
      <c r="D93" s="11">
        <v>1</v>
      </c>
      <c r="E93" s="11">
        <v>0</v>
      </c>
      <c r="F93" s="11">
        <v>1</v>
      </c>
      <c r="G93" s="11">
        <v>1</v>
      </c>
      <c r="H93" s="11">
        <v>1</v>
      </c>
      <c r="I93" s="11">
        <v>1</v>
      </c>
      <c r="J93" s="11">
        <v>1</v>
      </c>
      <c r="K93" s="11">
        <v>1</v>
      </c>
      <c r="L93" s="11">
        <v>0</v>
      </c>
      <c r="M93" s="11">
        <v>1</v>
      </c>
      <c r="N93" s="11">
        <v>1</v>
      </c>
      <c r="O93" s="11">
        <v>1</v>
      </c>
      <c r="P93" s="11">
        <v>1</v>
      </c>
      <c r="Q93" s="11">
        <v>1</v>
      </c>
      <c r="R93" s="11">
        <v>1</v>
      </c>
      <c r="S93" s="11">
        <v>1</v>
      </c>
      <c r="T93" s="11">
        <v>0</v>
      </c>
      <c r="U93" s="11">
        <v>1</v>
      </c>
      <c r="V93" s="11">
        <v>0</v>
      </c>
      <c r="W93" s="11">
        <v>1</v>
      </c>
      <c r="X93" s="11">
        <v>1</v>
      </c>
      <c r="Y93" s="11">
        <v>0</v>
      </c>
      <c r="Z93" s="11">
        <v>1</v>
      </c>
      <c r="AA93" s="11">
        <v>1</v>
      </c>
      <c r="AB93" s="11">
        <v>0</v>
      </c>
      <c r="AC93" s="11">
        <v>1</v>
      </c>
      <c r="AD93" s="11">
        <v>1</v>
      </c>
      <c r="AE93" s="11">
        <v>1</v>
      </c>
      <c r="AF93" s="11">
        <v>1</v>
      </c>
      <c r="AG93" s="11">
        <v>1</v>
      </c>
      <c r="AH93" s="11">
        <v>1</v>
      </c>
      <c r="AI93" s="11">
        <v>0</v>
      </c>
      <c r="AJ93" s="11">
        <v>1</v>
      </c>
      <c r="AK93" s="11">
        <v>1</v>
      </c>
      <c r="AL93" s="11">
        <v>1</v>
      </c>
      <c r="AM93" s="11">
        <v>1</v>
      </c>
      <c r="AN93" s="11">
        <v>0</v>
      </c>
      <c r="AO93" s="11">
        <v>1</v>
      </c>
      <c r="AP93" s="11">
        <v>1</v>
      </c>
      <c r="AQ93" s="11">
        <v>1</v>
      </c>
      <c r="AR93" s="11">
        <v>1</v>
      </c>
      <c r="AS93" s="11">
        <v>1</v>
      </c>
      <c r="AT93" s="11">
        <v>1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5">
        <f t="shared" si="19"/>
        <v>119.94446932629114</v>
      </c>
      <c r="BH93" s="3">
        <f t="shared" si="20"/>
        <v>30.631241400440633</v>
      </c>
      <c r="BI93" s="3">
        <f t="shared" si="21"/>
        <v>24.368758599559367</v>
      </c>
      <c r="BJ93" s="3">
        <f t="shared" si="13"/>
        <v>0.22871852228940834</v>
      </c>
      <c r="BK93" s="3">
        <f t="shared" si="14"/>
        <v>-0.45609683602320777</v>
      </c>
      <c r="BL93" s="3">
        <f t="shared" si="15"/>
        <v>0.94333424358242735</v>
      </c>
      <c r="BM93" s="3">
        <f t="shared" si="16"/>
        <v>0.72595197616482776</v>
      </c>
      <c r="BN93" s="3">
        <f t="shared" si="17"/>
        <v>57.259519761648278</v>
      </c>
      <c r="BO93" s="2" t="str">
        <f t="shared" si="18"/>
        <v>B</v>
      </c>
    </row>
    <row r="94" spans="1:67" x14ac:dyDescent="0.35">
      <c r="A94" s="15">
        <v>93</v>
      </c>
      <c r="B94" s="10" t="s">
        <v>127</v>
      </c>
      <c r="C94" s="11">
        <v>36</v>
      </c>
      <c r="D94" s="11">
        <v>1</v>
      </c>
      <c r="E94" s="11">
        <v>1</v>
      </c>
      <c r="F94" s="11">
        <v>1</v>
      </c>
      <c r="G94" s="11">
        <v>1</v>
      </c>
      <c r="H94" s="11">
        <v>1</v>
      </c>
      <c r="I94" s="11">
        <v>1</v>
      </c>
      <c r="J94" s="11">
        <v>1</v>
      </c>
      <c r="K94" s="11">
        <v>1</v>
      </c>
      <c r="L94" s="11">
        <v>1</v>
      </c>
      <c r="M94" s="11">
        <v>1</v>
      </c>
      <c r="N94" s="11">
        <v>1</v>
      </c>
      <c r="O94" s="11">
        <v>1</v>
      </c>
      <c r="P94" s="11">
        <v>1</v>
      </c>
      <c r="Q94" s="11">
        <v>1</v>
      </c>
      <c r="R94" s="11">
        <v>0</v>
      </c>
      <c r="S94" s="11">
        <v>1</v>
      </c>
      <c r="T94" s="11">
        <v>1</v>
      </c>
      <c r="U94" s="11">
        <v>1</v>
      </c>
      <c r="V94" s="11">
        <v>1</v>
      </c>
      <c r="W94" s="11">
        <v>1</v>
      </c>
      <c r="X94" s="11">
        <v>0</v>
      </c>
      <c r="Y94" s="11">
        <v>1</v>
      </c>
      <c r="Z94" s="11">
        <v>0</v>
      </c>
      <c r="AA94" s="11">
        <v>0</v>
      </c>
      <c r="AB94" s="11">
        <v>0</v>
      </c>
      <c r="AC94" s="11">
        <v>1</v>
      </c>
      <c r="AD94" s="11">
        <v>1</v>
      </c>
      <c r="AE94" s="11">
        <v>0</v>
      </c>
      <c r="AF94" s="11">
        <v>1</v>
      </c>
      <c r="AG94" s="11">
        <v>1</v>
      </c>
      <c r="AH94" s="11">
        <v>1</v>
      </c>
      <c r="AI94" s="11">
        <v>0</v>
      </c>
      <c r="AJ94" s="11">
        <v>1</v>
      </c>
      <c r="AK94" s="11">
        <v>1</v>
      </c>
      <c r="AL94" s="11">
        <v>1</v>
      </c>
      <c r="AM94" s="11">
        <v>1</v>
      </c>
      <c r="AN94" s="11">
        <v>1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1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1</v>
      </c>
      <c r="BA94" s="11">
        <v>1</v>
      </c>
      <c r="BB94" s="11">
        <v>1</v>
      </c>
      <c r="BC94" s="11">
        <v>1</v>
      </c>
      <c r="BD94" s="11">
        <v>1</v>
      </c>
      <c r="BE94" s="11">
        <v>0</v>
      </c>
      <c r="BF94" s="11">
        <v>0</v>
      </c>
      <c r="BG94" s="5">
        <f t="shared" si="19"/>
        <v>119.52033019801172</v>
      </c>
      <c r="BH94" s="3">
        <f t="shared" si="20"/>
        <v>30.522925376378225</v>
      </c>
      <c r="BI94" s="3">
        <f t="shared" si="21"/>
        <v>24.477074623621775</v>
      </c>
      <c r="BJ94" s="3">
        <f t="shared" si="13"/>
        <v>0.2207411031149405</v>
      </c>
      <c r="BK94" s="3">
        <f t="shared" si="14"/>
        <v>-0.45609683602320777</v>
      </c>
      <c r="BL94" s="3">
        <f t="shared" si="15"/>
        <v>0.94333424358242735</v>
      </c>
      <c r="BM94" s="3">
        <f t="shared" si="16"/>
        <v>0.71749535622471761</v>
      </c>
      <c r="BN94" s="3">
        <f t="shared" si="17"/>
        <v>57.174953562247175</v>
      </c>
      <c r="BO94" s="2" t="str">
        <f t="shared" si="18"/>
        <v>B</v>
      </c>
    </row>
    <row r="95" spans="1:67" x14ac:dyDescent="0.35">
      <c r="A95" s="1">
        <v>94</v>
      </c>
      <c r="B95" s="10" t="s">
        <v>128</v>
      </c>
      <c r="C95" s="11">
        <v>35</v>
      </c>
      <c r="D95" s="11">
        <v>0</v>
      </c>
      <c r="E95" s="11">
        <v>1</v>
      </c>
      <c r="F95" s="11">
        <v>1</v>
      </c>
      <c r="G95" s="11">
        <v>1</v>
      </c>
      <c r="H95" s="11">
        <v>1</v>
      </c>
      <c r="I95" s="11">
        <v>1</v>
      </c>
      <c r="J95" s="11">
        <v>0</v>
      </c>
      <c r="K95" s="11">
        <v>1</v>
      </c>
      <c r="L95" s="11">
        <v>1</v>
      </c>
      <c r="M95" s="11">
        <v>1</v>
      </c>
      <c r="N95" s="11">
        <v>1</v>
      </c>
      <c r="O95" s="11">
        <v>1</v>
      </c>
      <c r="P95" s="11">
        <v>1</v>
      </c>
      <c r="Q95" s="11">
        <v>1</v>
      </c>
      <c r="R95" s="11">
        <v>1</v>
      </c>
      <c r="S95" s="11">
        <v>1</v>
      </c>
      <c r="T95" s="11">
        <v>1</v>
      </c>
      <c r="U95" s="11">
        <v>1</v>
      </c>
      <c r="V95" s="11">
        <v>1</v>
      </c>
      <c r="W95" s="11">
        <v>0</v>
      </c>
      <c r="X95" s="11">
        <v>1</v>
      </c>
      <c r="Y95" s="11">
        <v>1</v>
      </c>
      <c r="Z95" s="11">
        <v>1</v>
      </c>
      <c r="AA95" s="11">
        <v>1</v>
      </c>
      <c r="AB95" s="11">
        <v>0</v>
      </c>
      <c r="AC95" s="11">
        <v>1</v>
      </c>
      <c r="AD95" s="11">
        <v>1</v>
      </c>
      <c r="AE95" s="11">
        <v>1</v>
      </c>
      <c r="AF95" s="11">
        <v>1</v>
      </c>
      <c r="AG95" s="11">
        <v>1</v>
      </c>
      <c r="AH95" s="11">
        <v>1</v>
      </c>
      <c r="AI95" s="11">
        <v>1</v>
      </c>
      <c r="AJ95" s="11">
        <v>0</v>
      </c>
      <c r="AK95" s="11">
        <v>0</v>
      </c>
      <c r="AL95" s="11">
        <v>0</v>
      </c>
      <c r="AM95" s="11">
        <v>1</v>
      </c>
      <c r="AN95" s="11">
        <v>0</v>
      </c>
      <c r="AO95" s="11">
        <v>1</v>
      </c>
      <c r="AP95" s="11">
        <v>1</v>
      </c>
      <c r="AQ95" s="11">
        <v>0</v>
      </c>
      <c r="AR95" s="11">
        <v>0</v>
      </c>
      <c r="AS95" s="11">
        <v>0</v>
      </c>
      <c r="AT95" s="11">
        <v>1</v>
      </c>
      <c r="AU95" s="11">
        <v>0</v>
      </c>
      <c r="AV95" s="11">
        <v>1</v>
      </c>
      <c r="AW95" s="11">
        <v>0</v>
      </c>
      <c r="AX95" s="11">
        <v>0</v>
      </c>
      <c r="AY95" s="11">
        <v>0</v>
      </c>
      <c r="AZ95" s="11">
        <v>0</v>
      </c>
      <c r="BA95" s="11">
        <v>1</v>
      </c>
      <c r="BB95" s="11">
        <v>1</v>
      </c>
      <c r="BC95" s="11">
        <v>0</v>
      </c>
      <c r="BD95" s="11">
        <v>0</v>
      </c>
      <c r="BE95" s="11">
        <v>0</v>
      </c>
      <c r="BF95" s="11">
        <v>0</v>
      </c>
      <c r="BG95" s="5">
        <f t="shared" si="19"/>
        <v>119.21022471185829</v>
      </c>
      <c r="BH95" s="3">
        <f t="shared" si="20"/>
        <v>30.44373109539703</v>
      </c>
      <c r="BI95" s="3">
        <f t="shared" si="21"/>
        <v>24.55626890460297</v>
      </c>
      <c r="BJ95" s="3">
        <f t="shared" si="13"/>
        <v>0.21491292343097251</v>
      </c>
      <c r="BK95" s="3">
        <f t="shared" si="14"/>
        <v>-0.45609683602320777</v>
      </c>
      <c r="BL95" s="3">
        <f t="shared" si="15"/>
        <v>0.94333424358242735</v>
      </c>
      <c r="BM95" s="3">
        <f t="shared" si="16"/>
        <v>0.71131707983581571</v>
      </c>
      <c r="BN95" s="3">
        <f t="shared" si="17"/>
        <v>57.113170798358155</v>
      </c>
      <c r="BO95" s="2" t="str">
        <f t="shared" si="18"/>
        <v>B</v>
      </c>
    </row>
    <row r="96" spans="1:67" x14ac:dyDescent="0.35">
      <c r="A96" s="15">
        <v>95</v>
      </c>
      <c r="B96" s="10" t="s">
        <v>129</v>
      </c>
      <c r="C96" s="11">
        <v>35</v>
      </c>
      <c r="D96" s="11">
        <v>1</v>
      </c>
      <c r="E96" s="11">
        <v>1</v>
      </c>
      <c r="F96" s="11">
        <v>1</v>
      </c>
      <c r="G96" s="11">
        <v>1</v>
      </c>
      <c r="H96" s="11">
        <v>1</v>
      </c>
      <c r="I96" s="11">
        <v>1</v>
      </c>
      <c r="J96" s="11">
        <v>1</v>
      </c>
      <c r="K96" s="11">
        <v>1</v>
      </c>
      <c r="L96" s="11">
        <v>1</v>
      </c>
      <c r="M96" s="11">
        <v>1</v>
      </c>
      <c r="N96" s="11">
        <v>1</v>
      </c>
      <c r="O96" s="11">
        <v>1</v>
      </c>
      <c r="P96" s="11">
        <v>1</v>
      </c>
      <c r="Q96" s="11">
        <v>1</v>
      </c>
      <c r="R96" s="11">
        <v>1</v>
      </c>
      <c r="S96" s="11">
        <v>1</v>
      </c>
      <c r="T96" s="11">
        <v>1</v>
      </c>
      <c r="U96" s="11">
        <v>1</v>
      </c>
      <c r="V96" s="11">
        <v>0</v>
      </c>
      <c r="W96" s="11">
        <v>1</v>
      </c>
      <c r="X96" s="11">
        <v>1</v>
      </c>
      <c r="Y96" s="11">
        <v>1</v>
      </c>
      <c r="Z96" s="11">
        <v>0</v>
      </c>
      <c r="AA96" s="11">
        <v>0</v>
      </c>
      <c r="AB96" s="11">
        <v>1</v>
      </c>
      <c r="AC96" s="11">
        <v>1</v>
      </c>
      <c r="AD96" s="11">
        <v>0</v>
      </c>
      <c r="AE96" s="11">
        <v>1</v>
      </c>
      <c r="AF96" s="11">
        <v>1</v>
      </c>
      <c r="AG96" s="11">
        <v>1</v>
      </c>
      <c r="AH96" s="11">
        <v>0</v>
      </c>
      <c r="AI96" s="11">
        <v>1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1</v>
      </c>
      <c r="AR96" s="11">
        <v>0</v>
      </c>
      <c r="AS96" s="11">
        <v>0</v>
      </c>
      <c r="AT96" s="11">
        <v>1</v>
      </c>
      <c r="AU96" s="11">
        <v>1</v>
      </c>
      <c r="AV96" s="11">
        <v>1</v>
      </c>
      <c r="AW96" s="11">
        <v>1</v>
      </c>
      <c r="AX96" s="11">
        <v>0</v>
      </c>
      <c r="AY96" s="11">
        <v>0</v>
      </c>
      <c r="AZ96" s="11">
        <v>1</v>
      </c>
      <c r="BA96" s="11">
        <v>1</v>
      </c>
      <c r="BB96" s="11">
        <v>1</v>
      </c>
      <c r="BC96" s="11">
        <v>0</v>
      </c>
      <c r="BD96" s="11">
        <v>0</v>
      </c>
      <c r="BE96" s="11">
        <v>0</v>
      </c>
      <c r="BF96" s="11">
        <v>0</v>
      </c>
      <c r="BG96" s="5">
        <f t="shared" si="19"/>
        <v>119.09536146231771</v>
      </c>
      <c r="BH96" s="3">
        <f t="shared" si="20"/>
        <v>30.414397488399736</v>
      </c>
      <c r="BI96" s="3">
        <f t="shared" si="21"/>
        <v>24.585602511600264</v>
      </c>
      <c r="BJ96" s="3">
        <f t="shared" si="13"/>
        <v>0.21275509004189061</v>
      </c>
      <c r="BK96" s="3">
        <f t="shared" si="14"/>
        <v>-0.45609683602320777</v>
      </c>
      <c r="BL96" s="3">
        <f t="shared" si="15"/>
        <v>0.94333424358242735</v>
      </c>
      <c r="BM96" s="3">
        <f t="shared" si="16"/>
        <v>0.70902962615355847</v>
      </c>
      <c r="BN96" s="3">
        <f t="shared" si="17"/>
        <v>57.090296261535585</v>
      </c>
      <c r="BO96" s="2" t="str">
        <f t="shared" si="18"/>
        <v>B</v>
      </c>
    </row>
    <row r="97" spans="1:67" x14ac:dyDescent="0.35">
      <c r="A97" s="15">
        <v>96</v>
      </c>
      <c r="B97" s="10" t="s">
        <v>130</v>
      </c>
      <c r="C97" s="11">
        <v>33</v>
      </c>
      <c r="D97" s="11">
        <v>1</v>
      </c>
      <c r="E97" s="11">
        <v>0</v>
      </c>
      <c r="F97" s="11">
        <v>1</v>
      </c>
      <c r="G97" s="11">
        <v>1</v>
      </c>
      <c r="H97" s="11">
        <v>1</v>
      </c>
      <c r="I97" s="11">
        <v>1</v>
      </c>
      <c r="J97" s="11">
        <v>1</v>
      </c>
      <c r="K97" s="11">
        <v>0</v>
      </c>
      <c r="L97" s="11">
        <v>1</v>
      </c>
      <c r="M97" s="11">
        <v>1</v>
      </c>
      <c r="N97" s="11">
        <v>0</v>
      </c>
      <c r="O97" s="11">
        <v>0</v>
      </c>
      <c r="P97" s="11">
        <v>1</v>
      </c>
      <c r="Q97" s="11">
        <v>1</v>
      </c>
      <c r="R97" s="11">
        <v>1</v>
      </c>
      <c r="S97" s="11">
        <v>1</v>
      </c>
      <c r="T97" s="11">
        <v>1</v>
      </c>
      <c r="U97" s="11">
        <v>0</v>
      </c>
      <c r="V97" s="11">
        <v>1</v>
      </c>
      <c r="W97" s="11">
        <v>0</v>
      </c>
      <c r="X97" s="11">
        <v>1</v>
      </c>
      <c r="Y97" s="11">
        <v>1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1</v>
      </c>
      <c r="AG97" s="11">
        <v>1</v>
      </c>
      <c r="AH97" s="11">
        <v>1</v>
      </c>
      <c r="AI97" s="11">
        <v>1</v>
      </c>
      <c r="AJ97" s="11">
        <v>1</v>
      </c>
      <c r="AK97" s="11">
        <v>1</v>
      </c>
      <c r="AL97" s="11">
        <v>1</v>
      </c>
      <c r="AM97" s="11">
        <v>0</v>
      </c>
      <c r="AN97" s="11">
        <v>0</v>
      </c>
      <c r="AO97" s="11">
        <v>0</v>
      </c>
      <c r="AP97" s="11">
        <v>1</v>
      </c>
      <c r="AQ97" s="11">
        <v>1</v>
      </c>
      <c r="AR97" s="11">
        <v>1</v>
      </c>
      <c r="AS97" s="11">
        <v>0</v>
      </c>
      <c r="AT97" s="11">
        <v>1</v>
      </c>
      <c r="AU97" s="11">
        <v>1</v>
      </c>
      <c r="AV97" s="11">
        <v>1</v>
      </c>
      <c r="AW97" s="11">
        <v>0</v>
      </c>
      <c r="AX97" s="11">
        <v>0</v>
      </c>
      <c r="AY97" s="11">
        <v>0</v>
      </c>
      <c r="AZ97" s="11">
        <v>1</v>
      </c>
      <c r="BA97" s="11">
        <v>1</v>
      </c>
      <c r="BB97" s="11">
        <v>0</v>
      </c>
      <c r="BC97" s="11">
        <v>1</v>
      </c>
      <c r="BD97" s="11">
        <v>1</v>
      </c>
      <c r="BE97" s="11">
        <v>0</v>
      </c>
      <c r="BF97" s="11">
        <v>0</v>
      </c>
      <c r="BG97" s="5">
        <f t="shared" si="19"/>
        <v>119.0092525135553</v>
      </c>
      <c r="BH97" s="3">
        <f t="shared" si="20"/>
        <v>30.392407112260717</v>
      </c>
      <c r="BI97" s="3">
        <f t="shared" si="21"/>
        <v>24.607592887739283</v>
      </c>
      <c r="BJ97" s="3">
        <f t="shared" si="13"/>
        <v>0.21113776188376723</v>
      </c>
      <c r="BK97" s="3">
        <f t="shared" si="14"/>
        <v>-0.45609683602320777</v>
      </c>
      <c r="BL97" s="3">
        <f t="shared" si="15"/>
        <v>0.94333424358242735</v>
      </c>
      <c r="BM97" s="3">
        <f t="shared" si="16"/>
        <v>0.7073151456614889</v>
      </c>
      <c r="BN97" s="3">
        <f t="shared" si="17"/>
        <v>57.073151456614887</v>
      </c>
      <c r="BO97" s="2" t="str">
        <f t="shared" si="18"/>
        <v>B</v>
      </c>
    </row>
    <row r="98" spans="1:67" x14ac:dyDescent="0.35">
      <c r="A98" s="1">
        <v>97</v>
      </c>
      <c r="B98" s="12">
        <v>5729719</v>
      </c>
      <c r="C98" s="11">
        <v>34</v>
      </c>
      <c r="D98" s="11">
        <v>0</v>
      </c>
      <c r="E98" s="11">
        <v>0</v>
      </c>
      <c r="F98" s="11">
        <v>1</v>
      </c>
      <c r="G98" s="11">
        <v>1</v>
      </c>
      <c r="H98" s="11">
        <v>1</v>
      </c>
      <c r="I98" s="11">
        <v>1</v>
      </c>
      <c r="J98" s="11">
        <v>1</v>
      </c>
      <c r="K98" s="11">
        <v>1</v>
      </c>
      <c r="L98" s="11">
        <v>1</v>
      </c>
      <c r="M98" s="11">
        <v>1</v>
      </c>
      <c r="N98" s="11">
        <v>1</v>
      </c>
      <c r="O98" s="11">
        <v>1</v>
      </c>
      <c r="P98" s="11">
        <v>1</v>
      </c>
      <c r="Q98" s="11">
        <v>1</v>
      </c>
      <c r="R98" s="11">
        <v>1</v>
      </c>
      <c r="S98" s="11">
        <v>1</v>
      </c>
      <c r="T98" s="11">
        <v>1</v>
      </c>
      <c r="U98" s="11">
        <v>1</v>
      </c>
      <c r="V98" s="11">
        <v>1</v>
      </c>
      <c r="W98" s="11">
        <v>0</v>
      </c>
      <c r="X98" s="11">
        <v>0</v>
      </c>
      <c r="Y98" s="11">
        <v>0</v>
      </c>
      <c r="Z98" s="11">
        <v>0</v>
      </c>
      <c r="AA98" s="11">
        <v>1</v>
      </c>
      <c r="AB98" s="11">
        <v>0</v>
      </c>
      <c r="AC98" s="11">
        <v>1</v>
      </c>
      <c r="AD98" s="11">
        <v>0</v>
      </c>
      <c r="AE98" s="11">
        <v>0</v>
      </c>
      <c r="AF98" s="11">
        <v>0</v>
      </c>
      <c r="AG98" s="11">
        <v>1</v>
      </c>
      <c r="AH98" s="11">
        <v>1</v>
      </c>
      <c r="AI98" s="11">
        <v>0</v>
      </c>
      <c r="AJ98" s="11">
        <v>1</v>
      </c>
      <c r="AK98" s="11">
        <v>1</v>
      </c>
      <c r="AL98" s="11">
        <v>1</v>
      </c>
      <c r="AM98" s="11">
        <v>1</v>
      </c>
      <c r="AN98" s="11">
        <v>1</v>
      </c>
      <c r="AO98" s="11">
        <v>0</v>
      </c>
      <c r="AP98" s="11">
        <v>0</v>
      </c>
      <c r="AQ98" s="11">
        <v>0</v>
      </c>
      <c r="AR98" s="11">
        <v>1</v>
      </c>
      <c r="AS98" s="11">
        <v>1</v>
      </c>
      <c r="AT98" s="11">
        <v>1</v>
      </c>
      <c r="AU98" s="11">
        <v>0</v>
      </c>
      <c r="AV98" s="11">
        <v>0</v>
      </c>
      <c r="AW98" s="11">
        <v>0</v>
      </c>
      <c r="AX98" s="11">
        <v>0</v>
      </c>
      <c r="AY98" s="11">
        <v>1</v>
      </c>
      <c r="AZ98" s="11">
        <v>0</v>
      </c>
      <c r="BA98" s="11">
        <v>1</v>
      </c>
      <c r="BB98" s="11">
        <v>1</v>
      </c>
      <c r="BC98" s="11">
        <v>1</v>
      </c>
      <c r="BD98" s="11">
        <v>1</v>
      </c>
      <c r="BE98" s="11">
        <v>0</v>
      </c>
      <c r="BF98" s="11">
        <v>0</v>
      </c>
      <c r="BG98" s="5">
        <f t="shared" si="19"/>
        <v>118.0279050571977</v>
      </c>
      <c r="BH98" s="3">
        <f t="shared" si="20"/>
        <v>30.141792048454612</v>
      </c>
      <c r="BI98" s="3">
        <f t="shared" si="21"/>
        <v>24.858207951545388</v>
      </c>
      <c r="BJ98" s="3">
        <f t="shared" si="13"/>
        <v>0.19272465104444067</v>
      </c>
      <c r="BK98" s="3">
        <f t="shared" si="14"/>
        <v>-0.45609683602320777</v>
      </c>
      <c r="BL98" s="3">
        <f t="shared" si="15"/>
        <v>0.94333424358242735</v>
      </c>
      <c r="BM98" s="3">
        <f t="shared" si="16"/>
        <v>0.68779596572649515</v>
      </c>
      <c r="BN98" s="3">
        <f t="shared" si="17"/>
        <v>56.877959657264952</v>
      </c>
      <c r="BO98" s="2" t="str">
        <f t="shared" si="18"/>
        <v>B</v>
      </c>
    </row>
    <row r="99" spans="1:67" x14ac:dyDescent="0.35">
      <c r="A99" s="15">
        <v>98</v>
      </c>
      <c r="B99" s="12">
        <v>1405739</v>
      </c>
      <c r="C99" s="11">
        <v>36</v>
      </c>
      <c r="D99" s="11">
        <v>1</v>
      </c>
      <c r="E99" s="11">
        <v>1</v>
      </c>
      <c r="F99" s="11">
        <v>1</v>
      </c>
      <c r="G99" s="11">
        <v>1</v>
      </c>
      <c r="H99" s="11">
        <v>1</v>
      </c>
      <c r="I99" s="11">
        <v>1</v>
      </c>
      <c r="J99" s="11">
        <v>1</v>
      </c>
      <c r="K99" s="11">
        <v>1</v>
      </c>
      <c r="L99" s="11">
        <v>1</v>
      </c>
      <c r="M99" s="11">
        <v>1</v>
      </c>
      <c r="N99" s="11">
        <v>1</v>
      </c>
      <c r="O99" s="11">
        <v>1</v>
      </c>
      <c r="P99" s="11">
        <v>1</v>
      </c>
      <c r="Q99" s="11">
        <v>1</v>
      </c>
      <c r="R99" s="11">
        <v>1</v>
      </c>
      <c r="S99" s="11">
        <v>1</v>
      </c>
      <c r="T99" s="11">
        <v>1</v>
      </c>
      <c r="U99" s="11">
        <v>1</v>
      </c>
      <c r="V99" s="11">
        <v>1</v>
      </c>
      <c r="W99" s="11">
        <v>0</v>
      </c>
      <c r="X99" s="11">
        <v>0</v>
      </c>
      <c r="Y99" s="11">
        <v>0</v>
      </c>
      <c r="Z99" s="11">
        <v>1</v>
      </c>
      <c r="AA99" s="11">
        <v>1</v>
      </c>
      <c r="AB99" s="11">
        <v>0</v>
      </c>
      <c r="AC99" s="11">
        <v>1</v>
      </c>
      <c r="AD99" s="11">
        <v>0</v>
      </c>
      <c r="AE99" s="11">
        <v>1</v>
      </c>
      <c r="AF99" s="11">
        <v>1</v>
      </c>
      <c r="AG99" s="11">
        <v>1</v>
      </c>
      <c r="AH99" s="11">
        <v>1</v>
      </c>
      <c r="AI99" s="11">
        <v>1</v>
      </c>
      <c r="AJ99" s="11">
        <v>1</v>
      </c>
      <c r="AK99" s="11">
        <v>1</v>
      </c>
      <c r="AL99" s="11">
        <v>1</v>
      </c>
      <c r="AM99" s="11">
        <v>1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1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1</v>
      </c>
      <c r="BB99" s="11">
        <v>1</v>
      </c>
      <c r="BC99" s="11">
        <v>1</v>
      </c>
      <c r="BD99" s="11">
        <v>1</v>
      </c>
      <c r="BE99" s="11">
        <v>0</v>
      </c>
      <c r="BF99" s="11">
        <v>0</v>
      </c>
      <c r="BG99" s="5">
        <f t="shared" si="19"/>
        <v>116.59478877247516</v>
      </c>
      <c r="BH99" s="3">
        <f t="shared" si="20"/>
        <v>29.775804928591501</v>
      </c>
      <c r="BI99" s="3">
        <f t="shared" si="21"/>
        <v>25.224195071408499</v>
      </c>
      <c r="BJ99" s="3">
        <f t="shared" si="13"/>
        <v>0.16589249280533774</v>
      </c>
      <c r="BK99" s="3">
        <f t="shared" si="14"/>
        <v>-0.45609683602320777</v>
      </c>
      <c r="BL99" s="3">
        <f t="shared" si="15"/>
        <v>0.94333424358242735</v>
      </c>
      <c r="BM99" s="3">
        <f t="shared" si="16"/>
        <v>0.65935200917382675</v>
      </c>
      <c r="BN99" s="3">
        <f t="shared" si="17"/>
        <v>56.59352009173827</v>
      </c>
      <c r="BO99" s="2" t="str">
        <f t="shared" si="18"/>
        <v>B</v>
      </c>
    </row>
    <row r="100" spans="1:67" x14ac:dyDescent="0.35">
      <c r="A100" s="15">
        <v>99</v>
      </c>
      <c r="B100" s="10" t="s">
        <v>131</v>
      </c>
      <c r="C100" s="11">
        <v>35</v>
      </c>
      <c r="D100" s="11">
        <v>1</v>
      </c>
      <c r="E100" s="11">
        <v>1</v>
      </c>
      <c r="F100" s="11">
        <v>1</v>
      </c>
      <c r="G100" s="11">
        <v>1</v>
      </c>
      <c r="H100" s="11">
        <v>1</v>
      </c>
      <c r="I100" s="11">
        <v>1</v>
      </c>
      <c r="J100" s="11">
        <v>1</v>
      </c>
      <c r="K100" s="11">
        <v>1</v>
      </c>
      <c r="L100" s="11">
        <v>0</v>
      </c>
      <c r="M100" s="11">
        <v>1</v>
      </c>
      <c r="N100" s="11">
        <v>1</v>
      </c>
      <c r="O100" s="11">
        <v>1</v>
      </c>
      <c r="P100" s="11">
        <v>1</v>
      </c>
      <c r="Q100" s="11">
        <v>1</v>
      </c>
      <c r="R100" s="11">
        <v>1</v>
      </c>
      <c r="S100" s="11">
        <v>1</v>
      </c>
      <c r="T100" s="11">
        <v>1</v>
      </c>
      <c r="U100" s="11">
        <v>1</v>
      </c>
      <c r="V100" s="11">
        <v>1</v>
      </c>
      <c r="W100" s="11">
        <v>0</v>
      </c>
      <c r="X100" s="11">
        <v>1</v>
      </c>
      <c r="Y100" s="11">
        <v>1</v>
      </c>
      <c r="Z100" s="11">
        <v>1</v>
      </c>
      <c r="AA100" s="11">
        <v>1</v>
      </c>
      <c r="AB100" s="11">
        <v>0</v>
      </c>
      <c r="AC100" s="11">
        <v>1</v>
      </c>
      <c r="AD100" s="11">
        <v>0</v>
      </c>
      <c r="AE100" s="11">
        <v>1</v>
      </c>
      <c r="AF100" s="11">
        <v>0</v>
      </c>
      <c r="AG100" s="11">
        <v>1</v>
      </c>
      <c r="AH100" s="11">
        <v>1</v>
      </c>
      <c r="AI100" s="11">
        <v>1</v>
      </c>
      <c r="AJ100" s="11">
        <v>1</v>
      </c>
      <c r="AK100" s="11">
        <v>1</v>
      </c>
      <c r="AL100" s="11">
        <v>1</v>
      </c>
      <c r="AM100" s="11">
        <v>0</v>
      </c>
      <c r="AN100" s="11">
        <v>0</v>
      </c>
      <c r="AO100" s="11">
        <v>1</v>
      </c>
      <c r="AP100" s="11">
        <v>1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1</v>
      </c>
      <c r="BB100" s="11">
        <v>0</v>
      </c>
      <c r="BC100" s="11">
        <v>1</v>
      </c>
      <c r="BD100" s="11">
        <v>1</v>
      </c>
      <c r="BE100" s="11">
        <v>0</v>
      </c>
      <c r="BF100" s="11">
        <v>0</v>
      </c>
      <c r="BG100" s="5">
        <f t="shared" si="19"/>
        <v>116.13107882306832</v>
      </c>
      <c r="BH100" s="3">
        <f t="shared" si="20"/>
        <v>29.657383366681657</v>
      </c>
      <c r="BI100" s="3">
        <f t="shared" si="21"/>
        <v>25.342616633318343</v>
      </c>
      <c r="BJ100" s="3">
        <f t="shared" si="13"/>
        <v>0.15722368132476236</v>
      </c>
      <c r="BK100" s="3">
        <f t="shared" si="14"/>
        <v>-0.45609683602320777</v>
      </c>
      <c r="BL100" s="3">
        <f t="shared" si="15"/>
        <v>0.94333424358242735</v>
      </c>
      <c r="BM100" s="3">
        <f t="shared" si="16"/>
        <v>0.65016246523481469</v>
      </c>
      <c r="BN100" s="3">
        <f t="shared" si="17"/>
        <v>56.501624652348148</v>
      </c>
      <c r="BO100" s="2" t="str">
        <f t="shared" si="18"/>
        <v>B</v>
      </c>
    </row>
    <row r="101" spans="1:67" x14ac:dyDescent="0.35">
      <c r="A101" s="1">
        <v>100</v>
      </c>
      <c r="B101" s="10" t="s">
        <v>132</v>
      </c>
      <c r="C101" s="11">
        <v>34</v>
      </c>
      <c r="D101" s="11">
        <v>1</v>
      </c>
      <c r="E101" s="11">
        <v>1</v>
      </c>
      <c r="F101" s="11">
        <v>1</v>
      </c>
      <c r="G101" s="11">
        <v>1</v>
      </c>
      <c r="H101" s="11">
        <v>1</v>
      </c>
      <c r="I101" s="11">
        <v>1</v>
      </c>
      <c r="J101" s="11">
        <v>1</v>
      </c>
      <c r="K101" s="11">
        <v>1</v>
      </c>
      <c r="L101" s="11">
        <v>1</v>
      </c>
      <c r="M101" s="11">
        <v>1</v>
      </c>
      <c r="N101" s="11">
        <v>0</v>
      </c>
      <c r="O101" s="11">
        <v>0</v>
      </c>
      <c r="P101" s="11">
        <v>0</v>
      </c>
      <c r="Q101" s="11">
        <v>1</v>
      </c>
      <c r="R101" s="11">
        <v>1</v>
      </c>
      <c r="S101" s="11">
        <v>1</v>
      </c>
      <c r="T101" s="11">
        <v>1</v>
      </c>
      <c r="U101" s="11">
        <v>1</v>
      </c>
      <c r="V101" s="11">
        <v>1</v>
      </c>
      <c r="W101" s="11">
        <v>0</v>
      </c>
      <c r="X101" s="11">
        <v>1</v>
      </c>
      <c r="Y101" s="11">
        <v>1</v>
      </c>
      <c r="Z101" s="11">
        <v>1</v>
      </c>
      <c r="AA101" s="11">
        <v>1</v>
      </c>
      <c r="AB101" s="11">
        <v>0</v>
      </c>
      <c r="AC101" s="11">
        <v>0</v>
      </c>
      <c r="AD101" s="11">
        <v>1</v>
      </c>
      <c r="AE101" s="11">
        <v>0</v>
      </c>
      <c r="AF101" s="11">
        <v>1</v>
      </c>
      <c r="AG101" s="11">
        <v>1</v>
      </c>
      <c r="AH101" s="11">
        <v>1</v>
      </c>
      <c r="AI101" s="11">
        <v>0</v>
      </c>
      <c r="AJ101" s="11">
        <v>1</v>
      </c>
      <c r="AK101" s="11">
        <v>0</v>
      </c>
      <c r="AL101" s="11">
        <v>1</v>
      </c>
      <c r="AM101" s="11">
        <v>0</v>
      </c>
      <c r="AN101" s="11">
        <v>0</v>
      </c>
      <c r="AO101" s="11">
        <v>0</v>
      </c>
      <c r="AP101" s="11">
        <v>0</v>
      </c>
      <c r="AQ101" s="11">
        <v>1</v>
      </c>
      <c r="AR101" s="11">
        <v>1</v>
      </c>
      <c r="AS101" s="11">
        <v>1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1</v>
      </c>
      <c r="AZ101" s="11">
        <v>0</v>
      </c>
      <c r="BA101" s="11">
        <v>1</v>
      </c>
      <c r="BB101" s="11">
        <v>1</v>
      </c>
      <c r="BC101" s="11">
        <v>1</v>
      </c>
      <c r="BD101" s="11">
        <v>1</v>
      </c>
      <c r="BE101" s="11">
        <v>0</v>
      </c>
      <c r="BF101" s="11">
        <v>0</v>
      </c>
      <c r="BG101" s="5">
        <f t="shared" si="19"/>
        <v>115.82159569554435</v>
      </c>
      <c r="BH101" s="3">
        <f t="shared" si="20"/>
        <v>29.578348022727933</v>
      </c>
      <c r="BI101" s="3">
        <f t="shared" si="21"/>
        <v>25.421651977272067</v>
      </c>
      <c r="BJ101" s="3">
        <f t="shared" si="13"/>
        <v>0.15144135699125102</v>
      </c>
      <c r="BK101" s="3">
        <f t="shared" si="14"/>
        <v>-0.45609683602320777</v>
      </c>
      <c r="BL101" s="3">
        <f t="shared" si="15"/>
        <v>0.94333424358242735</v>
      </c>
      <c r="BM101" s="3">
        <f t="shared" si="16"/>
        <v>0.64403279871115249</v>
      </c>
      <c r="BN101" s="3">
        <f t="shared" si="17"/>
        <v>56.440327987111523</v>
      </c>
      <c r="BO101" s="2" t="str">
        <f t="shared" si="18"/>
        <v>B</v>
      </c>
    </row>
    <row r="102" spans="1:67" x14ac:dyDescent="0.35">
      <c r="A102" s="15">
        <v>101</v>
      </c>
      <c r="B102" s="10" t="s">
        <v>133</v>
      </c>
      <c r="C102" s="11">
        <v>34</v>
      </c>
      <c r="D102" s="11">
        <v>1</v>
      </c>
      <c r="E102" s="11">
        <v>0</v>
      </c>
      <c r="F102" s="11">
        <v>1</v>
      </c>
      <c r="G102" s="11">
        <v>1</v>
      </c>
      <c r="H102" s="11">
        <v>1</v>
      </c>
      <c r="I102" s="11">
        <v>0</v>
      </c>
      <c r="J102" s="11">
        <v>1</v>
      </c>
      <c r="K102" s="11">
        <v>1</v>
      </c>
      <c r="L102" s="11">
        <v>1</v>
      </c>
      <c r="M102" s="11">
        <v>0</v>
      </c>
      <c r="N102" s="11">
        <v>1</v>
      </c>
      <c r="O102" s="11">
        <v>1</v>
      </c>
      <c r="P102" s="11">
        <v>1</v>
      </c>
      <c r="Q102" s="11">
        <v>1</v>
      </c>
      <c r="R102" s="11">
        <v>1</v>
      </c>
      <c r="S102" s="11">
        <v>1</v>
      </c>
      <c r="T102" s="11">
        <v>1</v>
      </c>
      <c r="U102" s="11">
        <v>1</v>
      </c>
      <c r="V102" s="11">
        <v>1</v>
      </c>
      <c r="W102" s="11">
        <v>1</v>
      </c>
      <c r="X102" s="11">
        <v>1</v>
      </c>
      <c r="Y102" s="11">
        <v>1</v>
      </c>
      <c r="Z102" s="11">
        <v>0</v>
      </c>
      <c r="AA102" s="11">
        <v>1</v>
      </c>
      <c r="AB102" s="11">
        <v>0</v>
      </c>
      <c r="AC102" s="11">
        <v>1</v>
      </c>
      <c r="AD102" s="11">
        <v>0</v>
      </c>
      <c r="AE102" s="11">
        <v>1</v>
      </c>
      <c r="AF102" s="11">
        <v>1</v>
      </c>
      <c r="AG102" s="11">
        <v>1</v>
      </c>
      <c r="AH102" s="11">
        <v>1</v>
      </c>
      <c r="AI102" s="11">
        <v>0</v>
      </c>
      <c r="AJ102" s="11">
        <v>1</v>
      </c>
      <c r="AK102" s="11">
        <v>1</v>
      </c>
      <c r="AL102" s="11">
        <v>1</v>
      </c>
      <c r="AM102" s="11">
        <v>0</v>
      </c>
      <c r="AN102" s="11">
        <v>0</v>
      </c>
      <c r="AO102" s="11">
        <v>1</v>
      </c>
      <c r="AP102" s="11">
        <v>0</v>
      </c>
      <c r="AQ102" s="11">
        <v>1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1</v>
      </c>
      <c r="BB102" s="11">
        <v>1</v>
      </c>
      <c r="BC102" s="11">
        <v>1</v>
      </c>
      <c r="BD102" s="11">
        <v>1</v>
      </c>
      <c r="BE102" s="11">
        <v>0</v>
      </c>
      <c r="BF102" s="11">
        <v>0</v>
      </c>
      <c r="BG102" s="5">
        <f t="shared" si="19"/>
        <v>114.65703498981817</v>
      </c>
      <c r="BH102" s="3">
        <f t="shared" si="20"/>
        <v>29.280944229931734</v>
      </c>
      <c r="BI102" s="3">
        <f t="shared" si="21"/>
        <v>25.719055770068266</v>
      </c>
      <c r="BJ102" s="3">
        <f t="shared" si="13"/>
        <v>0.1297047500623455</v>
      </c>
      <c r="BK102" s="3">
        <f t="shared" si="14"/>
        <v>-0.45609683602320777</v>
      </c>
      <c r="BL102" s="3">
        <f t="shared" si="15"/>
        <v>0.94333424358242735</v>
      </c>
      <c r="BM102" s="3">
        <f t="shared" si="16"/>
        <v>0.62099048144473157</v>
      </c>
      <c r="BN102" s="3">
        <f t="shared" si="17"/>
        <v>56.209904814447313</v>
      </c>
      <c r="BO102" s="2" t="str">
        <f t="shared" si="18"/>
        <v>B</v>
      </c>
    </row>
    <row r="103" spans="1:67" x14ac:dyDescent="0.35">
      <c r="A103" s="15">
        <v>102</v>
      </c>
      <c r="B103" s="10" t="s">
        <v>134</v>
      </c>
      <c r="C103" s="11">
        <v>34</v>
      </c>
      <c r="D103" s="11">
        <v>1</v>
      </c>
      <c r="E103" s="11">
        <v>1</v>
      </c>
      <c r="F103" s="11">
        <v>1</v>
      </c>
      <c r="G103" s="11">
        <v>1</v>
      </c>
      <c r="H103" s="11">
        <v>1</v>
      </c>
      <c r="I103" s="11">
        <v>0</v>
      </c>
      <c r="J103" s="11">
        <v>1</v>
      </c>
      <c r="K103" s="11">
        <v>1</v>
      </c>
      <c r="L103" s="11">
        <v>1</v>
      </c>
      <c r="M103" s="11">
        <v>1</v>
      </c>
      <c r="N103" s="11">
        <v>0</v>
      </c>
      <c r="O103" s="11">
        <v>1</v>
      </c>
      <c r="P103" s="11">
        <v>0</v>
      </c>
      <c r="Q103" s="11">
        <v>1</v>
      </c>
      <c r="R103" s="11">
        <v>1</v>
      </c>
      <c r="S103" s="11">
        <v>1</v>
      </c>
      <c r="T103" s="11">
        <v>1</v>
      </c>
      <c r="U103" s="11">
        <v>1</v>
      </c>
      <c r="V103" s="11">
        <v>0</v>
      </c>
      <c r="W103" s="11">
        <v>1</v>
      </c>
      <c r="X103" s="11">
        <v>1</v>
      </c>
      <c r="Y103" s="11">
        <v>1</v>
      </c>
      <c r="Z103" s="11">
        <v>1</v>
      </c>
      <c r="AA103" s="11">
        <v>1</v>
      </c>
      <c r="AB103" s="11">
        <v>0</v>
      </c>
      <c r="AC103" s="11">
        <v>1</v>
      </c>
      <c r="AD103" s="11">
        <v>0</v>
      </c>
      <c r="AE103" s="11">
        <v>1</v>
      </c>
      <c r="AF103" s="11">
        <v>0</v>
      </c>
      <c r="AG103" s="11">
        <v>1</v>
      </c>
      <c r="AH103" s="11">
        <v>1</v>
      </c>
      <c r="AI103" s="11">
        <v>1</v>
      </c>
      <c r="AJ103" s="11">
        <v>1</v>
      </c>
      <c r="AK103" s="11">
        <v>1</v>
      </c>
      <c r="AL103" s="11">
        <v>1</v>
      </c>
      <c r="AM103" s="11">
        <v>0</v>
      </c>
      <c r="AN103" s="11">
        <v>0</v>
      </c>
      <c r="AO103" s="11">
        <v>0</v>
      </c>
      <c r="AP103" s="11">
        <v>0</v>
      </c>
      <c r="AQ103" s="11">
        <v>1</v>
      </c>
      <c r="AR103" s="11">
        <v>1</v>
      </c>
      <c r="AS103" s="11">
        <v>1</v>
      </c>
      <c r="AT103" s="11">
        <v>1</v>
      </c>
      <c r="AU103" s="11">
        <v>1</v>
      </c>
      <c r="AV103" s="11">
        <v>1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5">
        <f t="shared" si="19"/>
        <v>114.15285122571821</v>
      </c>
      <c r="BH103" s="3">
        <f t="shared" si="20"/>
        <v>29.152186525011501</v>
      </c>
      <c r="BI103" s="3">
        <f t="shared" si="21"/>
        <v>25.847813474988499</v>
      </c>
      <c r="BJ103" s="3">
        <f t="shared" si="13"/>
        <v>0.12030390714770295</v>
      </c>
      <c r="BK103" s="3">
        <f t="shared" si="14"/>
        <v>-0.45609683602320777</v>
      </c>
      <c r="BL103" s="3">
        <f t="shared" si="15"/>
        <v>0.94333424358242735</v>
      </c>
      <c r="BM103" s="3">
        <f t="shared" si="16"/>
        <v>0.61102493320072671</v>
      </c>
      <c r="BN103" s="3">
        <f t="shared" si="17"/>
        <v>56.110249332007271</v>
      </c>
      <c r="BO103" s="2" t="str">
        <f t="shared" si="18"/>
        <v>B</v>
      </c>
    </row>
    <row r="104" spans="1:67" x14ac:dyDescent="0.35">
      <c r="A104" s="1">
        <v>103</v>
      </c>
      <c r="B104" s="10" t="s">
        <v>135</v>
      </c>
      <c r="C104" s="11">
        <v>35</v>
      </c>
      <c r="D104" s="11">
        <v>1</v>
      </c>
      <c r="E104" s="11">
        <v>1</v>
      </c>
      <c r="F104" s="11">
        <v>1</v>
      </c>
      <c r="G104" s="11">
        <v>1</v>
      </c>
      <c r="H104" s="11">
        <v>1</v>
      </c>
      <c r="I104" s="11">
        <v>1</v>
      </c>
      <c r="J104" s="11">
        <v>1</v>
      </c>
      <c r="K104" s="11">
        <v>1</v>
      </c>
      <c r="L104" s="11">
        <v>1</v>
      </c>
      <c r="M104" s="11">
        <v>1</v>
      </c>
      <c r="N104" s="11">
        <v>1</v>
      </c>
      <c r="O104" s="11">
        <v>1</v>
      </c>
      <c r="P104" s="11">
        <v>1</v>
      </c>
      <c r="Q104" s="11">
        <v>1</v>
      </c>
      <c r="R104" s="11">
        <v>1</v>
      </c>
      <c r="S104" s="11">
        <v>1</v>
      </c>
      <c r="T104" s="11">
        <v>0</v>
      </c>
      <c r="U104" s="11">
        <v>1</v>
      </c>
      <c r="V104" s="11">
        <v>1</v>
      </c>
      <c r="W104" s="11">
        <v>0</v>
      </c>
      <c r="X104" s="11">
        <v>1</v>
      </c>
      <c r="Y104" s="11">
        <v>1</v>
      </c>
      <c r="Z104" s="11">
        <v>1</v>
      </c>
      <c r="AA104" s="11">
        <v>0</v>
      </c>
      <c r="AB104" s="11">
        <v>0</v>
      </c>
      <c r="AC104" s="11">
        <v>1</v>
      </c>
      <c r="AD104" s="11">
        <v>0</v>
      </c>
      <c r="AE104" s="11">
        <v>1</v>
      </c>
      <c r="AF104" s="11">
        <v>1</v>
      </c>
      <c r="AG104" s="11">
        <v>1</v>
      </c>
      <c r="AH104" s="11">
        <v>1</v>
      </c>
      <c r="AI104" s="11">
        <v>1</v>
      </c>
      <c r="AJ104" s="11">
        <v>1</v>
      </c>
      <c r="AK104" s="11">
        <v>1</v>
      </c>
      <c r="AL104" s="11">
        <v>1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1</v>
      </c>
      <c r="BA104" s="11">
        <v>1</v>
      </c>
      <c r="BB104" s="11">
        <v>1</v>
      </c>
      <c r="BC104" s="11">
        <v>1</v>
      </c>
      <c r="BD104" s="11">
        <v>1</v>
      </c>
      <c r="BE104" s="11">
        <v>0</v>
      </c>
      <c r="BF104" s="11">
        <v>0</v>
      </c>
      <c r="BG104" s="5">
        <f t="shared" si="19"/>
        <v>114.02770475093739</v>
      </c>
      <c r="BH104" s="3">
        <f t="shared" si="20"/>
        <v>29.120226803142231</v>
      </c>
      <c r="BI104" s="3">
        <f t="shared" si="21"/>
        <v>25.879773196857769</v>
      </c>
      <c r="BJ104" s="3">
        <f t="shared" si="13"/>
        <v>0.11797130591867257</v>
      </c>
      <c r="BK104" s="3">
        <f t="shared" si="14"/>
        <v>-0.45609683602320777</v>
      </c>
      <c r="BL104" s="3">
        <f t="shared" si="15"/>
        <v>0.94333424358242735</v>
      </c>
      <c r="BM104" s="3">
        <f t="shared" si="16"/>
        <v>0.60855221343580856</v>
      </c>
      <c r="BN104" s="3">
        <f t="shared" si="17"/>
        <v>56.085522134358087</v>
      </c>
      <c r="BO104" s="2" t="str">
        <f t="shared" si="18"/>
        <v>B</v>
      </c>
    </row>
    <row r="105" spans="1:67" x14ac:dyDescent="0.35">
      <c r="A105" s="15">
        <v>104</v>
      </c>
      <c r="B105" s="10" t="s">
        <v>136</v>
      </c>
      <c r="C105" s="11">
        <v>34</v>
      </c>
      <c r="D105" s="11">
        <v>1</v>
      </c>
      <c r="E105" s="11">
        <v>0</v>
      </c>
      <c r="F105" s="11">
        <v>1</v>
      </c>
      <c r="G105" s="11">
        <v>1</v>
      </c>
      <c r="H105" s="11">
        <v>1</v>
      </c>
      <c r="I105" s="11">
        <v>0</v>
      </c>
      <c r="J105" s="11">
        <v>1</v>
      </c>
      <c r="K105" s="11">
        <v>1</v>
      </c>
      <c r="L105" s="11">
        <v>1</v>
      </c>
      <c r="M105" s="11">
        <v>1</v>
      </c>
      <c r="N105" s="11">
        <v>1</v>
      </c>
      <c r="O105" s="11">
        <v>1</v>
      </c>
      <c r="P105" s="11">
        <v>1</v>
      </c>
      <c r="Q105" s="11">
        <v>1</v>
      </c>
      <c r="R105" s="11">
        <v>1</v>
      </c>
      <c r="S105" s="11">
        <v>1</v>
      </c>
      <c r="T105" s="11">
        <v>1</v>
      </c>
      <c r="U105" s="11">
        <v>1</v>
      </c>
      <c r="V105" s="11">
        <v>0</v>
      </c>
      <c r="W105" s="11">
        <v>1</v>
      </c>
      <c r="X105" s="11">
        <v>1</v>
      </c>
      <c r="Y105" s="11">
        <v>1</v>
      </c>
      <c r="Z105" s="11">
        <v>0</v>
      </c>
      <c r="AA105" s="11">
        <v>1</v>
      </c>
      <c r="AB105" s="11">
        <v>0</v>
      </c>
      <c r="AC105" s="11">
        <v>1</v>
      </c>
      <c r="AD105" s="11">
        <v>0</v>
      </c>
      <c r="AE105" s="11">
        <v>0</v>
      </c>
      <c r="AF105" s="11">
        <v>1</v>
      </c>
      <c r="AG105" s="11">
        <v>1</v>
      </c>
      <c r="AH105" s="11">
        <v>1</v>
      </c>
      <c r="AI105" s="11">
        <v>0</v>
      </c>
      <c r="AJ105" s="11">
        <v>1</v>
      </c>
      <c r="AK105" s="11">
        <v>1</v>
      </c>
      <c r="AL105" s="11">
        <v>1</v>
      </c>
      <c r="AM105" s="11">
        <v>0</v>
      </c>
      <c r="AN105" s="11">
        <v>0</v>
      </c>
      <c r="AO105" s="11">
        <v>1</v>
      </c>
      <c r="AP105" s="11">
        <v>0</v>
      </c>
      <c r="AQ105" s="11">
        <v>1</v>
      </c>
      <c r="AR105" s="11">
        <v>0</v>
      </c>
      <c r="AS105" s="11">
        <v>0</v>
      </c>
      <c r="AT105" s="11">
        <v>1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1</v>
      </c>
      <c r="BB105" s="11">
        <v>1</v>
      </c>
      <c r="BC105" s="11">
        <v>1</v>
      </c>
      <c r="BD105" s="11">
        <v>1</v>
      </c>
      <c r="BE105" s="11">
        <v>0</v>
      </c>
      <c r="BF105" s="11">
        <v>0</v>
      </c>
      <c r="BG105" s="5">
        <f t="shared" si="19"/>
        <v>113.81139462776515</v>
      </c>
      <c r="BH105" s="3">
        <f t="shared" si="20"/>
        <v>29.064985843409247</v>
      </c>
      <c r="BI105" s="3">
        <f t="shared" si="21"/>
        <v>25.935014156590753</v>
      </c>
      <c r="BJ105" s="3">
        <f t="shared" si="13"/>
        <v>0.11394026043449793</v>
      </c>
      <c r="BK105" s="3">
        <f t="shared" si="14"/>
        <v>-0.45609683602320777</v>
      </c>
      <c r="BL105" s="3">
        <f t="shared" si="15"/>
        <v>0.94333424358242735</v>
      </c>
      <c r="BM105" s="3">
        <f t="shared" si="16"/>
        <v>0.60427902446636517</v>
      </c>
      <c r="BN105" s="3">
        <f t="shared" si="17"/>
        <v>56.042790244663649</v>
      </c>
      <c r="BO105" s="2" t="str">
        <f t="shared" si="18"/>
        <v>B</v>
      </c>
    </row>
    <row r="106" spans="1:67" x14ac:dyDescent="0.35">
      <c r="A106" s="15">
        <v>105</v>
      </c>
      <c r="B106" s="12">
        <v>811008</v>
      </c>
      <c r="C106" s="11">
        <v>34</v>
      </c>
      <c r="D106" s="11">
        <v>0</v>
      </c>
      <c r="E106" s="11">
        <v>1</v>
      </c>
      <c r="F106" s="11">
        <v>1</v>
      </c>
      <c r="G106" s="11">
        <v>1</v>
      </c>
      <c r="H106" s="11">
        <v>1</v>
      </c>
      <c r="I106" s="11">
        <v>0</v>
      </c>
      <c r="J106" s="11">
        <v>1</v>
      </c>
      <c r="K106" s="11">
        <v>1</v>
      </c>
      <c r="L106" s="11">
        <v>1</v>
      </c>
      <c r="M106" s="11">
        <v>1</v>
      </c>
      <c r="N106" s="11">
        <v>1</v>
      </c>
      <c r="O106" s="11">
        <v>1</v>
      </c>
      <c r="P106" s="11">
        <v>1</v>
      </c>
      <c r="Q106" s="11">
        <v>1</v>
      </c>
      <c r="R106" s="11">
        <v>0</v>
      </c>
      <c r="S106" s="11">
        <v>1</v>
      </c>
      <c r="T106" s="11">
        <v>1</v>
      </c>
      <c r="U106" s="11">
        <v>1</v>
      </c>
      <c r="V106" s="11">
        <v>1</v>
      </c>
      <c r="W106" s="11">
        <v>0</v>
      </c>
      <c r="X106" s="11">
        <v>0</v>
      </c>
      <c r="Y106" s="11">
        <v>1</v>
      </c>
      <c r="Z106" s="11">
        <v>1</v>
      </c>
      <c r="AA106" s="11">
        <v>1</v>
      </c>
      <c r="AB106" s="11">
        <v>0</v>
      </c>
      <c r="AC106" s="11">
        <v>1</v>
      </c>
      <c r="AD106" s="11">
        <v>0</v>
      </c>
      <c r="AE106" s="11">
        <v>1</v>
      </c>
      <c r="AF106" s="11">
        <v>1</v>
      </c>
      <c r="AG106" s="11">
        <v>1</v>
      </c>
      <c r="AH106" s="11">
        <v>1</v>
      </c>
      <c r="AI106" s="11">
        <v>0</v>
      </c>
      <c r="AJ106" s="11">
        <v>1</v>
      </c>
      <c r="AK106" s="11">
        <v>1</v>
      </c>
      <c r="AL106" s="11">
        <v>1</v>
      </c>
      <c r="AM106" s="11">
        <v>1</v>
      </c>
      <c r="AN106" s="11">
        <v>0</v>
      </c>
      <c r="AO106" s="11">
        <v>0</v>
      </c>
      <c r="AP106" s="11">
        <v>1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1</v>
      </c>
      <c r="BA106" s="11">
        <v>1</v>
      </c>
      <c r="BB106" s="11">
        <v>1</v>
      </c>
      <c r="BC106" s="11">
        <v>1</v>
      </c>
      <c r="BD106" s="11">
        <v>1</v>
      </c>
      <c r="BE106" s="11">
        <v>0</v>
      </c>
      <c r="BF106" s="11">
        <v>0</v>
      </c>
      <c r="BG106" s="5">
        <f t="shared" si="19"/>
        <v>113.46471001631326</v>
      </c>
      <c r="BH106" s="3">
        <f t="shared" si="20"/>
        <v>28.976450039442224</v>
      </c>
      <c r="BI106" s="3">
        <f t="shared" si="21"/>
        <v>26.023549960557776</v>
      </c>
      <c r="BJ106" s="3">
        <f t="shared" si="13"/>
        <v>0.10748153670031906</v>
      </c>
      <c r="BK106" s="3">
        <f t="shared" si="14"/>
        <v>-0.45609683602320777</v>
      </c>
      <c r="BL106" s="3">
        <f t="shared" si="15"/>
        <v>0.94333424358242735</v>
      </c>
      <c r="BM106" s="3">
        <f t="shared" si="16"/>
        <v>0.59743232746780073</v>
      </c>
      <c r="BN106" s="3">
        <f t="shared" si="17"/>
        <v>55.974323274678007</v>
      </c>
      <c r="BO106" s="2" t="str">
        <f t="shared" si="18"/>
        <v>B</v>
      </c>
    </row>
    <row r="107" spans="1:67" x14ac:dyDescent="0.35">
      <c r="A107" s="1">
        <v>106</v>
      </c>
      <c r="B107" s="10" t="s">
        <v>137</v>
      </c>
      <c r="C107" s="11">
        <v>34</v>
      </c>
      <c r="D107" s="11">
        <v>0</v>
      </c>
      <c r="E107" s="11">
        <v>1</v>
      </c>
      <c r="F107" s="11">
        <v>1</v>
      </c>
      <c r="G107" s="11">
        <v>1</v>
      </c>
      <c r="H107" s="11">
        <v>1</v>
      </c>
      <c r="I107" s="11">
        <v>1</v>
      </c>
      <c r="J107" s="11">
        <v>1</v>
      </c>
      <c r="K107" s="11">
        <v>1</v>
      </c>
      <c r="L107" s="11">
        <v>1</v>
      </c>
      <c r="M107" s="11">
        <v>1</v>
      </c>
      <c r="N107" s="11">
        <v>1</v>
      </c>
      <c r="O107" s="11">
        <v>1</v>
      </c>
      <c r="P107" s="11">
        <v>0</v>
      </c>
      <c r="Q107" s="11">
        <v>1</v>
      </c>
      <c r="R107" s="11">
        <v>1</v>
      </c>
      <c r="S107" s="11">
        <v>1</v>
      </c>
      <c r="T107" s="11">
        <v>1</v>
      </c>
      <c r="U107" s="11">
        <v>0</v>
      </c>
      <c r="V107" s="11">
        <v>0</v>
      </c>
      <c r="W107" s="11">
        <v>1</v>
      </c>
      <c r="X107" s="11">
        <v>1</v>
      </c>
      <c r="Y107" s="11">
        <v>1</v>
      </c>
      <c r="Z107" s="11">
        <v>0</v>
      </c>
      <c r="AA107" s="11">
        <v>1</v>
      </c>
      <c r="AB107" s="11">
        <v>0</v>
      </c>
      <c r="AC107" s="11">
        <v>1</v>
      </c>
      <c r="AD107" s="11">
        <v>1</v>
      </c>
      <c r="AE107" s="11">
        <v>1</v>
      </c>
      <c r="AF107" s="11">
        <v>1</v>
      </c>
      <c r="AG107" s="11">
        <v>1</v>
      </c>
      <c r="AH107" s="11">
        <v>1</v>
      </c>
      <c r="AI107" s="11">
        <v>0</v>
      </c>
      <c r="AJ107" s="11">
        <v>1</v>
      </c>
      <c r="AK107" s="11">
        <v>1</v>
      </c>
      <c r="AL107" s="11">
        <v>1</v>
      </c>
      <c r="AM107" s="11">
        <v>0</v>
      </c>
      <c r="AN107" s="11">
        <v>0</v>
      </c>
      <c r="AO107" s="11">
        <v>0</v>
      </c>
      <c r="AP107" s="11">
        <v>0</v>
      </c>
      <c r="AQ107" s="11">
        <v>1</v>
      </c>
      <c r="AR107" s="11">
        <v>0</v>
      </c>
      <c r="AS107" s="11">
        <v>0</v>
      </c>
      <c r="AT107" s="11">
        <v>1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1</v>
      </c>
      <c r="BA107" s="11">
        <v>1</v>
      </c>
      <c r="BB107" s="11">
        <v>1</v>
      </c>
      <c r="BC107" s="11">
        <v>1</v>
      </c>
      <c r="BD107" s="11">
        <v>0</v>
      </c>
      <c r="BE107" s="11">
        <v>0</v>
      </c>
      <c r="BF107" s="11">
        <v>0</v>
      </c>
      <c r="BG107" s="5">
        <f t="shared" si="19"/>
        <v>112.3319074553181</v>
      </c>
      <c r="BH107" s="3">
        <f t="shared" si="20"/>
        <v>28.687156594735857</v>
      </c>
      <c r="BI107" s="3">
        <f t="shared" si="21"/>
        <v>26.312843405264143</v>
      </c>
      <c r="BJ107" s="3">
        <f t="shared" si="13"/>
        <v>8.6392354806393803E-2</v>
      </c>
      <c r="BK107" s="3">
        <f t="shared" si="14"/>
        <v>-0.45609683602320777</v>
      </c>
      <c r="BL107" s="3">
        <f t="shared" si="15"/>
        <v>0.94333424358242735</v>
      </c>
      <c r="BM107" s="3">
        <f t="shared" si="16"/>
        <v>0.57507632583063284</v>
      </c>
      <c r="BN107" s="3">
        <f t="shared" si="17"/>
        <v>55.750763258306328</v>
      </c>
      <c r="BO107" s="2" t="str">
        <f t="shared" si="18"/>
        <v>B</v>
      </c>
    </row>
    <row r="108" spans="1:67" x14ac:dyDescent="0.35">
      <c r="A108" s="15">
        <v>107</v>
      </c>
      <c r="B108" s="10" t="s">
        <v>138</v>
      </c>
      <c r="C108" s="11">
        <v>34</v>
      </c>
      <c r="D108" s="11">
        <v>1</v>
      </c>
      <c r="E108" s="11">
        <v>1</v>
      </c>
      <c r="F108" s="11">
        <v>1</v>
      </c>
      <c r="G108" s="11">
        <v>1</v>
      </c>
      <c r="H108" s="11">
        <v>1</v>
      </c>
      <c r="I108" s="11">
        <v>1</v>
      </c>
      <c r="J108" s="11">
        <v>1</v>
      </c>
      <c r="K108" s="11">
        <v>1</v>
      </c>
      <c r="L108" s="11">
        <v>1</v>
      </c>
      <c r="M108" s="11">
        <v>1</v>
      </c>
      <c r="N108" s="11">
        <v>1</v>
      </c>
      <c r="O108" s="11">
        <v>1</v>
      </c>
      <c r="P108" s="11">
        <v>1</v>
      </c>
      <c r="Q108" s="11">
        <v>1</v>
      </c>
      <c r="R108" s="11">
        <v>1</v>
      </c>
      <c r="S108" s="11">
        <v>1</v>
      </c>
      <c r="T108" s="11">
        <v>1</v>
      </c>
      <c r="U108" s="11">
        <v>1</v>
      </c>
      <c r="V108" s="11">
        <v>1</v>
      </c>
      <c r="W108" s="11">
        <v>1</v>
      </c>
      <c r="X108" s="11">
        <v>1</v>
      </c>
      <c r="Y108" s="11">
        <v>1</v>
      </c>
      <c r="Z108" s="11">
        <v>1</v>
      </c>
      <c r="AA108" s="11">
        <v>0</v>
      </c>
      <c r="AB108" s="11">
        <v>1</v>
      </c>
      <c r="AC108" s="11">
        <v>1</v>
      </c>
      <c r="AD108" s="11">
        <v>0</v>
      </c>
      <c r="AE108" s="11">
        <v>0</v>
      </c>
      <c r="AF108" s="11">
        <v>1</v>
      </c>
      <c r="AG108" s="11">
        <v>1</v>
      </c>
      <c r="AH108" s="11">
        <v>1</v>
      </c>
      <c r="AI108" s="11">
        <v>0</v>
      </c>
      <c r="AJ108" s="11">
        <v>0</v>
      </c>
      <c r="AK108" s="11">
        <v>1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1</v>
      </c>
      <c r="AS108" s="11">
        <v>1</v>
      </c>
      <c r="AT108" s="11">
        <v>1</v>
      </c>
      <c r="AU108" s="11">
        <v>1</v>
      </c>
      <c r="AV108" s="11">
        <v>0</v>
      </c>
      <c r="AW108" s="11">
        <v>0</v>
      </c>
      <c r="AX108" s="11">
        <v>0</v>
      </c>
      <c r="AY108" s="11">
        <v>0</v>
      </c>
      <c r="AZ108" s="11">
        <v>1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5">
        <f t="shared" si="19"/>
        <v>111.17641529274964</v>
      </c>
      <c r="BH108" s="3">
        <f t="shared" si="20"/>
        <v>28.392068713095668</v>
      </c>
      <c r="BI108" s="3">
        <f t="shared" si="21"/>
        <v>26.607931286904332</v>
      </c>
      <c r="BJ108" s="3">
        <f t="shared" si="13"/>
        <v>6.4900495473380254E-2</v>
      </c>
      <c r="BK108" s="3">
        <f t="shared" si="14"/>
        <v>-0.45609683602320777</v>
      </c>
      <c r="BL108" s="3">
        <f t="shared" si="15"/>
        <v>0.94333424358242735</v>
      </c>
      <c r="BM108" s="3">
        <f t="shared" si="16"/>
        <v>0.55229345806215702</v>
      </c>
      <c r="BN108" s="3">
        <f t="shared" si="17"/>
        <v>55.522934580621566</v>
      </c>
      <c r="BO108" s="2" t="str">
        <f t="shared" si="18"/>
        <v>B</v>
      </c>
    </row>
    <row r="109" spans="1:67" x14ac:dyDescent="0.35">
      <c r="A109" s="15">
        <v>108</v>
      </c>
      <c r="B109" s="10" t="s">
        <v>139</v>
      </c>
      <c r="C109" s="11">
        <v>31</v>
      </c>
      <c r="D109" s="11">
        <v>1</v>
      </c>
      <c r="E109" s="11">
        <v>1</v>
      </c>
      <c r="F109" s="11">
        <v>1</v>
      </c>
      <c r="G109" s="11">
        <v>1</v>
      </c>
      <c r="H109" s="11">
        <v>1</v>
      </c>
      <c r="I109" s="11">
        <v>1</v>
      </c>
      <c r="J109" s="11">
        <v>0</v>
      </c>
      <c r="K109" s="11">
        <v>0</v>
      </c>
      <c r="L109" s="11">
        <v>1</v>
      </c>
      <c r="M109" s="11">
        <v>0</v>
      </c>
      <c r="N109" s="11">
        <v>0</v>
      </c>
      <c r="O109" s="11">
        <v>0</v>
      </c>
      <c r="P109" s="11">
        <v>0</v>
      </c>
      <c r="Q109" s="11">
        <v>1</v>
      </c>
      <c r="R109" s="11">
        <v>0</v>
      </c>
      <c r="S109" s="11">
        <v>0</v>
      </c>
      <c r="T109" s="11">
        <v>0</v>
      </c>
      <c r="U109" s="11">
        <v>1</v>
      </c>
      <c r="V109" s="11">
        <v>1</v>
      </c>
      <c r="W109" s="11">
        <v>1</v>
      </c>
      <c r="X109" s="11">
        <v>1</v>
      </c>
      <c r="Y109" s="11">
        <v>1</v>
      </c>
      <c r="Z109" s="11">
        <v>1</v>
      </c>
      <c r="AA109" s="11">
        <v>0</v>
      </c>
      <c r="AB109" s="11">
        <v>0</v>
      </c>
      <c r="AC109" s="11">
        <v>1</v>
      </c>
      <c r="AD109" s="11">
        <v>0</v>
      </c>
      <c r="AE109" s="11">
        <v>1</v>
      </c>
      <c r="AF109" s="11">
        <v>1</v>
      </c>
      <c r="AG109" s="11">
        <v>1</v>
      </c>
      <c r="AH109" s="11">
        <v>1</v>
      </c>
      <c r="AI109" s="11">
        <v>0</v>
      </c>
      <c r="AJ109" s="11">
        <v>1</v>
      </c>
      <c r="AK109" s="11">
        <v>1</v>
      </c>
      <c r="AL109" s="11">
        <v>1</v>
      </c>
      <c r="AM109" s="11">
        <v>1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1</v>
      </c>
      <c r="AT109" s="11">
        <v>1</v>
      </c>
      <c r="AU109" s="11">
        <v>0</v>
      </c>
      <c r="AV109" s="11">
        <v>0</v>
      </c>
      <c r="AW109" s="11">
        <v>0</v>
      </c>
      <c r="AX109" s="11">
        <v>0</v>
      </c>
      <c r="AY109" s="11">
        <v>1</v>
      </c>
      <c r="AZ109" s="11">
        <v>1</v>
      </c>
      <c r="BA109" s="11">
        <v>1</v>
      </c>
      <c r="BB109" s="11">
        <v>1</v>
      </c>
      <c r="BC109" s="11">
        <v>1</v>
      </c>
      <c r="BD109" s="11">
        <v>1</v>
      </c>
      <c r="BE109" s="11">
        <v>0</v>
      </c>
      <c r="BF109" s="11">
        <v>0</v>
      </c>
      <c r="BG109" s="5">
        <f t="shared" si="19"/>
        <v>109.85441206562736</v>
      </c>
      <c r="BH109" s="3">
        <f t="shared" si="20"/>
        <v>28.054457481751729</v>
      </c>
      <c r="BI109" s="3">
        <f t="shared" si="21"/>
        <v>26.945542518248271</v>
      </c>
      <c r="BJ109" s="3">
        <f t="shared" si="13"/>
        <v>4.0329645883437182E-2</v>
      </c>
      <c r="BK109" s="3">
        <f t="shared" si="14"/>
        <v>-0.45609683602320777</v>
      </c>
      <c r="BL109" s="3">
        <f t="shared" si="15"/>
        <v>0.94333424358242735</v>
      </c>
      <c r="BM109" s="3">
        <f t="shared" si="16"/>
        <v>0.52624664617432371</v>
      </c>
      <c r="BN109" s="3">
        <f t="shared" si="17"/>
        <v>55.262466461743237</v>
      </c>
      <c r="BO109" s="2" t="str">
        <f t="shared" si="18"/>
        <v>B</v>
      </c>
    </row>
    <row r="110" spans="1:67" x14ac:dyDescent="0.35">
      <c r="A110" s="1">
        <v>109</v>
      </c>
      <c r="B110" s="10" t="s">
        <v>140</v>
      </c>
      <c r="C110" s="11">
        <v>34</v>
      </c>
      <c r="D110" s="11">
        <v>1</v>
      </c>
      <c r="E110" s="11">
        <v>1</v>
      </c>
      <c r="F110" s="11">
        <v>1</v>
      </c>
      <c r="G110" s="11">
        <v>1</v>
      </c>
      <c r="H110" s="11">
        <v>1</v>
      </c>
      <c r="I110" s="11">
        <v>1</v>
      </c>
      <c r="J110" s="11">
        <v>1</v>
      </c>
      <c r="K110" s="11">
        <v>1</v>
      </c>
      <c r="L110" s="11">
        <v>1</v>
      </c>
      <c r="M110" s="11">
        <v>1</v>
      </c>
      <c r="N110" s="11">
        <v>1</v>
      </c>
      <c r="O110" s="11">
        <v>1</v>
      </c>
      <c r="P110" s="11">
        <v>1</v>
      </c>
      <c r="Q110" s="11">
        <v>1</v>
      </c>
      <c r="R110" s="11">
        <v>1</v>
      </c>
      <c r="S110" s="11">
        <v>1</v>
      </c>
      <c r="T110" s="11">
        <v>1</v>
      </c>
      <c r="U110" s="11">
        <v>1</v>
      </c>
      <c r="V110" s="11">
        <v>1</v>
      </c>
      <c r="W110" s="11">
        <v>0</v>
      </c>
      <c r="X110" s="11">
        <v>1</v>
      </c>
      <c r="Y110" s="11">
        <v>1</v>
      </c>
      <c r="Z110" s="11">
        <v>0</v>
      </c>
      <c r="AA110" s="11">
        <v>1</v>
      </c>
      <c r="AB110" s="11">
        <v>0</v>
      </c>
      <c r="AC110" s="11">
        <v>1</v>
      </c>
      <c r="AD110" s="11">
        <v>0</v>
      </c>
      <c r="AE110" s="11">
        <v>0</v>
      </c>
      <c r="AF110" s="11">
        <v>1</v>
      </c>
      <c r="AG110" s="11">
        <v>1</v>
      </c>
      <c r="AH110" s="11">
        <v>1</v>
      </c>
      <c r="AI110" s="11">
        <v>0</v>
      </c>
      <c r="AJ110" s="11">
        <v>1</v>
      </c>
      <c r="AK110" s="11">
        <v>1</v>
      </c>
      <c r="AL110" s="11">
        <v>1</v>
      </c>
      <c r="AM110" s="11">
        <v>0</v>
      </c>
      <c r="AN110" s="11">
        <v>0</v>
      </c>
      <c r="AO110" s="11">
        <v>1</v>
      </c>
      <c r="AP110" s="11">
        <v>0</v>
      </c>
      <c r="AQ110" s="11">
        <v>0</v>
      </c>
      <c r="AR110" s="11">
        <v>0</v>
      </c>
      <c r="AS110" s="11">
        <v>0</v>
      </c>
      <c r="AT110" s="11">
        <v>1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1</v>
      </c>
      <c r="BB110" s="11">
        <v>0</v>
      </c>
      <c r="BC110" s="11">
        <v>1</v>
      </c>
      <c r="BD110" s="11">
        <v>1</v>
      </c>
      <c r="BE110" s="11">
        <v>0</v>
      </c>
      <c r="BF110" s="11">
        <v>0</v>
      </c>
      <c r="BG110" s="5">
        <f t="shared" si="19"/>
        <v>109.78939812056198</v>
      </c>
      <c r="BH110" s="3">
        <f t="shared" si="20"/>
        <v>28.037854316496357</v>
      </c>
      <c r="BI110" s="3">
        <f t="shared" si="21"/>
        <v>26.962145683503643</v>
      </c>
      <c r="BJ110" s="3">
        <f t="shared" si="13"/>
        <v>3.9121666457967413E-2</v>
      </c>
      <c r="BK110" s="3">
        <f t="shared" si="14"/>
        <v>-0.45609683602320777</v>
      </c>
      <c r="BL110" s="3">
        <f t="shared" si="15"/>
        <v>0.94333424358242735</v>
      </c>
      <c r="BM110" s="3">
        <f t="shared" si="16"/>
        <v>0.52496610384938669</v>
      </c>
      <c r="BN110" s="3">
        <f t="shared" si="17"/>
        <v>55.249661038493869</v>
      </c>
      <c r="BO110" s="2" t="str">
        <f t="shared" si="18"/>
        <v>B</v>
      </c>
    </row>
    <row r="111" spans="1:67" x14ac:dyDescent="0.35">
      <c r="A111" s="15">
        <v>110</v>
      </c>
      <c r="B111" s="10" t="s">
        <v>141</v>
      </c>
      <c r="C111" s="11">
        <v>32</v>
      </c>
      <c r="D111" s="11">
        <v>1</v>
      </c>
      <c r="E111" s="11">
        <v>1</v>
      </c>
      <c r="F111" s="11">
        <v>1</v>
      </c>
      <c r="G111" s="11">
        <v>1</v>
      </c>
      <c r="H111" s="11">
        <v>1</v>
      </c>
      <c r="I111" s="11">
        <v>1</v>
      </c>
      <c r="J111" s="11">
        <v>1</v>
      </c>
      <c r="K111" s="11">
        <v>1</v>
      </c>
      <c r="L111" s="11">
        <v>1</v>
      </c>
      <c r="M111" s="11">
        <v>1</v>
      </c>
      <c r="N111" s="11">
        <v>1</v>
      </c>
      <c r="O111" s="11">
        <v>1</v>
      </c>
      <c r="P111" s="11">
        <v>1</v>
      </c>
      <c r="Q111" s="11">
        <v>1</v>
      </c>
      <c r="R111" s="11">
        <v>1</v>
      </c>
      <c r="S111" s="11">
        <v>0</v>
      </c>
      <c r="T111" s="11">
        <v>1</v>
      </c>
      <c r="U111" s="11">
        <v>1</v>
      </c>
      <c r="V111" s="11">
        <v>1</v>
      </c>
      <c r="W111" s="11">
        <v>1</v>
      </c>
      <c r="X111" s="11">
        <v>0</v>
      </c>
      <c r="Y111" s="11">
        <v>0</v>
      </c>
      <c r="Z111" s="11">
        <v>0</v>
      </c>
      <c r="AA111" s="11">
        <v>1</v>
      </c>
      <c r="AB111" s="11">
        <v>0</v>
      </c>
      <c r="AC111" s="11">
        <v>0</v>
      </c>
      <c r="AD111" s="11">
        <v>1</v>
      </c>
      <c r="AE111" s="11">
        <v>0</v>
      </c>
      <c r="AF111" s="11">
        <v>0</v>
      </c>
      <c r="AG111" s="11">
        <v>1</v>
      </c>
      <c r="AH111" s="11">
        <v>1</v>
      </c>
      <c r="AI111" s="11">
        <v>1</v>
      </c>
      <c r="AJ111" s="11">
        <v>1</v>
      </c>
      <c r="AK111" s="11">
        <v>0</v>
      </c>
      <c r="AL111" s="11">
        <v>0</v>
      </c>
      <c r="AM111" s="11">
        <v>1</v>
      </c>
      <c r="AN111" s="11">
        <v>1</v>
      </c>
      <c r="AO111" s="11">
        <v>1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1</v>
      </c>
      <c r="AV111" s="11">
        <v>1</v>
      </c>
      <c r="AW111" s="11">
        <v>1</v>
      </c>
      <c r="AX111" s="11">
        <v>0</v>
      </c>
      <c r="AY111" s="11">
        <v>0</v>
      </c>
      <c r="AZ111" s="11">
        <v>0</v>
      </c>
      <c r="BA111" s="11">
        <v>1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5">
        <f t="shared" si="19"/>
        <v>109.74132975339667</v>
      </c>
      <c r="BH111" s="3">
        <f t="shared" si="20"/>
        <v>28.025578687893923</v>
      </c>
      <c r="BI111" s="3">
        <f t="shared" si="21"/>
        <v>26.974421312106077</v>
      </c>
      <c r="BJ111" s="3">
        <f t="shared" si="13"/>
        <v>3.8228559567753957E-2</v>
      </c>
      <c r="BK111" s="3">
        <f t="shared" si="14"/>
        <v>-0.45609683602320777</v>
      </c>
      <c r="BL111" s="3">
        <f t="shared" si="15"/>
        <v>0.94333424358242735</v>
      </c>
      <c r="BM111" s="3">
        <f t="shared" si="16"/>
        <v>0.52401934834221697</v>
      </c>
      <c r="BN111" s="3">
        <f t="shared" si="17"/>
        <v>55.240193483422168</v>
      </c>
      <c r="BO111" s="2" t="str">
        <f t="shared" si="18"/>
        <v>B</v>
      </c>
    </row>
    <row r="112" spans="1:67" x14ac:dyDescent="0.35">
      <c r="A112" s="15">
        <v>111</v>
      </c>
      <c r="B112" s="10" t="s">
        <v>142</v>
      </c>
      <c r="C112" s="11">
        <v>34</v>
      </c>
      <c r="D112" s="11">
        <v>1</v>
      </c>
      <c r="E112" s="11">
        <v>1</v>
      </c>
      <c r="F112" s="11">
        <v>1</v>
      </c>
      <c r="G112" s="11">
        <v>1</v>
      </c>
      <c r="H112" s="11">
        <v>1</v>
      </c>
      <c r="I112" s="11">
        <v>1</v>
      </c>
      <c r="J112" s="11">
        <v>1</v>
      </c>
      <c r="K112" s="11">
        <v>1</v>
      </c>
      <c r="L112" s="11">
        <v>1</v>
      </c>
      <c r="M112" s="11">
        <v>1</v>
      </c>
      <c r="N112" s="11">
        <v>1</v>
      </c>
      <c r="O112" s="11">
        <v>1</v>
      </c>
      <c r="P112" s="11">
        <v>1</v>
      </c>
      <c r="Q112" s="11">
        <v>1</v>
      </c>
      <c r="R112" s="11">
        <v>1</v>
      </c>
      <c r="S112" s="11">
        <v>0</v>
      </c>
      <c r="T112" s="11">
        <v>1</v>
      </c>
      <c r="U112" s="11">
        <v>0</v>
      </c>
      <c r="V112" s="11">
        <v>1</v>
      </c>
      <c r="W112" s="11">
        <v>1</v>
      </c>
      <c r="X112" s="11">
        <v>1</v>
      </c>
      <c r="Y112" s="11">
        <v>0</v>
      </c>
      <c r="Z112" s="11">
        <v>1</v>
      </c>
      <c r="AA112" s="11">
        <v>1</v>
      </c>
      <c r="AB112" s="11">
        <v>0</v>
      </c>
      <c r="AC112" s="11">
        <v>1</v>
      </c>
      <c r="AD112" s="11">
        <v>1</v>
      </c>
      <c r="AE112" s="11">
        <v>1</v>
      </c>
      <c r="AF112" s="11">
        <v>1</v>
      </c>
      <c r="AG112" s="11">
        <v>1</v>
      </c>
      <c r="AH112" s="11">
        <v>1</v>
      </c>
      <c r="AI112" s="11">
        <v>0</v>
      </c>
      <c r="AJ112" s="11">
        <v>1</v>
      </c>
      <c r="AK112" s="11">
        <v>1</v>
      </c>
      <c r="AL112" s="11">
        <v>1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1</v>
      </c>
      <c r="BB112" s="11">
        <v>1</v>
      </c>
      <c r="BC112" s="11">
        <v>1</v>
      </c>
      <c r="BD112" s="11">
        <v>1</v>
      </c>
      <c r="BE112" s="11">
        <v>0</v>
      </c>
      <c r="BF112" s="11">
        <v>0</v>
      </c>
      <c r="BG112" s="5">
        <f t="shared" si="19"/>
        <v>109.60824953830688</v>
      </c>
      <c r="BH112" s="3">
        <f t="shared" si="20"/>
        <v>27.991592859143882</v>
      </c>
      <c r="BI112" s="3">
        <f t="shared" si="21"/>
        <v>27.008407140856118</v>
      </c>
      <c r="BJ112" s="3">
        <f t="shared" si="13"/>
        <v>3.5756016934786326E-2</v>
      </c>
      <c r="BK112" s="3">
        <f t="shared" si="14"/>
        <v>-0.45609683602320777</v>
      </c>
      <c r="BL112" s="3">
        <f t="shared" si="15"/>
        <v>0.94333424358242735</v>
      </c>
      <c r="BM112" s="3">
        <f t="shared" si="16"/>
        <v>0.52139828094241825</v>
      </c>
      <c r="BN112" s="3">
        <f t="shared" si="17"/>
        <v>55.213982809424181</v>
      </c>
      <c r="BO112" s="2" t="str">
        <f t="shared" si="18"/>
        <v>B</v>
      </c>
    </row>
    <row r="113" spans="1:67" x14ac:dyDescent="0.35">
      <c r="A113" s="1">
        <v>112</v>
      </c>
      <c r="B113" s="10" t="s">
        <v>143</v>
      </c>
      <c r="C113" s="11">
        <v>33</v>
      </c>
      <c r="D113" s="11">
        <v>1</v>
      </c>
      <c r="E113" s="11">
        <v>1</v>
      </c>
      <c r="F113" s="11">
        <v>1</v>
      </c>
      <c r="G113" s="11">
        <v>1</v>
      </c>
      <c r="H113" s="11">
        <v>1</v>
      </c>
      <c r="I113" s="11">
        <v>0</v>
      </c>
      <c r="J113" s="11">
        <v>1</v>
      </c>
      <c r="K113" s="11">
        <v>1</v>
      </c>
      <c r="L113" s="11">
        <v>1</v>
      </c>
      <c r="M113" s="11">
        <v>1</v>
      </c>
      <c r="N113" s="11">
        <v>1</v>
      </c>
      <c r="O113" s="11">
        <v>1</v>
      </c>
      <c r="P113" s="11">
        <v>1</v>
      </c>
      <c r="Q113" s="11">
        <v>1</v>
      </c>
      <c r="R113" s="11">
        <v>1</v>
      </c>
      <c r="S113" s="11">
        <v>1</v>
      </c>
      <c r="T113" s="11">
        <v>1</v>
      </c>
      <c r="U113" s="11">
        <v>1</v>
      </c>
      <c r="V113" s="11">
        <v>1</v>
      </c>
      <c r="W113" s="11">
        <v>0</v>
      </c>
      <c r="X113" s="11">
        <v>1</v>
      </c>
      <c r="Y113" s="11">
        <v>1</v>
      </c>
      <c r="Z113" s="11">
        <v>0</v>
      </c>
      <c r="AA113" s="11">
        <v>1</v>
      </c>
      <c r="AB113" s="11">
        <v>0</v>
      </c>
      <c r="AC113" s="11">
        <v>1</v>
      </c>
      <c r="AD113" s="11">
        <v>1</v>
      </c>
      <c r="AE113" s="11">
        <v>0</v>
      </c>
      <c r="AF113" s="11">
        <v>1</v>
      </c>
      <c r="AG113" s="11">
        <v>1</v>
      </c>
      <c r="AH113" s="11">
        <v>0</v>
      </c>
      <c r="AI113" s="11">
        <v>1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1</v>
      </c>
      <c r="AR113" s="11">
        <v>1</v>
      </c>
      <c r="AS113" s="11">
        <v>0</v>
      </c>
      <c r="AT113" s="11">
        <v>1</v>
      </c>
      <c r="AU113" s="11">
        <v>0</v>
      </c>
      <c r="AV113" s="11">
        <v>0</v>
      </c>
      <c r="AW113" s="11">
        <v>0</v>
      </c>
      <c r="AX113" s="11">
        <v>0</v>
      </c>
      <c r="AY113" s="11">
        <v>1</v>
      </c>
      <c r="AZ113" s="11">
        <v>1</v>
      </c>
      <c r="BA113" s="11">
        <v>1</v>
      </c>
      <c r="BB113" s="11">
        <v>1</v>
      </c>
      <c r="BC113" s="11">
        <v>0</v>
      </c>
      <c r="BD113" s="11">
        <v>0</v>
      </c>
      <c r="BE113" s="11">
        <v>0</v>
      </c>
      <c r="BF113" s="11">
        <v>0</v>
      </c>
      <c r="BG113" s="5">
        <f t="shared" si="19"/>
        <v>109.56242110438581</v>
      </c>
      <c r="BH113" s="3">
        <f t="shared" si="20"/>
        <v>27.979889261384642</v>
      </c>
      <c r="BI113" s="3">
        <f t="shared" si="21"/>
        <v>27.020110738615358</v>
      </c>
      <c r="BJ113" s="3">
        <f t="shared" si="13"/>
        <v>3.4904580533965494E-2</v>
      </c>
      <c r="BK113" s="3">
        <f t="shared" si="14"/>
        <v>-0.45609683602320777</v>
      </c>
      <c r="BL113" s="3">
        <f t="shared" si="15"/>
        <v>0.94333424358242735</v>
      </c>
      <c r="BM113" s="3">
        <f t="shared" si="16"/>
        <v>0.52049569905629123</v>
      </c>
      <c r="BN113" s="3">
        <f t="shared" si="17"/>
        <v>55.204956990562913</v>
      </c>
      <c r="BO113" s="2" t="str">
        <f t="shared" si="18"/>
        <v>B</v>
      </c>
    </row>
    <row r="114" spans="1:67" x14ac:dyDescent="0.35">
      <c r="A114" s="15">
        <v>113</v>
      </c>
      <c r="B114" s="12">
        <v>2012007</v>
      </c>
      <c r="C114" s="11">
        <v>33</v>
      </c>
      <c r="D114" s="11">
        <v>1</v>
      </c>
      <c r="E114" s="11">
        <v>1</v>
      </c>
      <c r="F114" s="11">
        <v>0</v>
      </c>
      <c r="G114" s="11">
        <v>1</v>
      </c>
      <c r="H114" s="11">
        <v>1</v>
      </c>
      <c r="I114" s="11">
        <v>0</v>
      </c>
      <c r="J114" s="11">
        <v>1</v>
      </c>
      <c r="K114" s="11">
        <v>1</v>
      </c>
      <c r="L114" s="11">
        <v>1</v>
      </c>
      <c r="M114" s="11">
        <v>1</v>
      </c>
      <c r="N114" s="11">
        <v>1</v>
      </c>
      <c r="O114" s="11">
        <v>1</v>
      </c>
      <c r="P114" s="11">
        <v>0</v>
      </c>
      <c r="Q114" s="11">
        <v>1</v>
      </c>
      <c r="R114" s="11">
        <v>1</v>
      </c>
      <c r="S114" s="11">
        <v>1</v>
      </c>
      <c r="T114" s="11">
        <v>1</v>
      </c>
      <c r="U114" s="11">
        <v>0</v>
      </c>
      <c r="V114" s="11">
        <v>1</v>
      </c>
      <c r="W114" s="11">
        <v>1</v>
      </c>
      <c r="X114" s="11">
        <v>1</v>
      </c>
      <c r="Y114" s="11">
        <v>1</v>
      </c>
      <c r="Z114" s="11">
        <v>1</v>
      </c>
      <c r="AA114" s="11">
        <v>1</v>
      </c>
      <c r="AB114" s="11">
        <v>1</v>
      </c>
      <c r="AC114" s="11">
        <v>0</v>
      </c>
      <c r="AD114" s="11">
        <v>0</v>
      </c>
      <c r="AE114" s="11">
        <v>1</v>
      </c>
      <c r="AF114" s="11">
        <v>1</v>
      </c>
      <c r="AG114" s="11">
        <v>1</v>
      </c>
      <c r="AH114" s="11">
        <v>1</v>
      </c>
      <c r="AI114" s="11">
        <v>0</v>
      </c>
      <c r="AJ114" s="11">
        <v>1</v>
      </c>
      <c r="AK114" s="11">
        <v>1</v>
      </c>
      <c r="AL114" s="11">
        <v>1</v>
      </c>
      <c r="AM114" s="11">
        <v>1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1</v>
      </c>
      <c r="BB114" s="11">
        <v>1</v>
      </c>
      <c r="BC114" s="11">
        <v>1</v>
      </c>
      <c r="BD114" s="11">
        <v>1</v>
      </c>
      <c r="BE114" s="11">
        <v>0</v>
      </c>
      <c r="BF114" s="11">
        <v>0</v>
      </c>
      <c r="BG114" s="5">
        <f t="shared" si="19"/>
        <v>109.35880891061143</v>
      </c>
      <c r="BH114" s="3">
        <f t="shared" si="20"/>
        <v>27.927891080104523</v>
      </c>
      <c r="BI114" s="3">
        <f t="shared" si="21"/>
        <v>27.072108919895477</v>
      </c>
      <c r="BJ114" s="3">
        <f t="shared" si="13"/>
        <v>3.1121863013215286E-2</v>
      </c>
      <c r="BK114" s="3">
        <f t="shared" si="14"/>
        <v>-0.45609683602320777</v>
      </c>
      <c r="BL114" s="3">
        <f t="shared" si="15"/>
        <v>0.94333424358242735</v>
      </c>
      <c r="BM114" s="3">
        <f t="shared" si="16"/>
        <v>0.51648575502374472</v>
      </c>
      <c r="BN114" s="3">
        <f t="shared" si="17"/>
        <v>55.16485755023745</v>
      </c>
      <c r="BO114" s="2" t="str">
        <f t="shared" si="18"/>
        <v>B</v>
      </c>
    </row>
    <row r="115" spans="1:67" x14ac:dyDescent="0.35">
      <c r="A115" s="15">
        <v>114</v>
      </c>
      <c r="B115" s="10" t="s">
        <v>144</v>
      </c>
      <c r="C115" s="11">
        <v>33</v>
      </c>
      <c r="D115" s="11">
        <v>1</v>
      </c>
      <c r="E115" s="11">
        <v>1</v>
      </c>
      <c r="F115" s="11">
        <v>0</v>
      </c>
      <c r="G115" s="11">
        <v>1</v>
      </c>
      <c r="H115" s="11">
        <v>1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1</v>
      </c>
      <c r="O115" s="11">
        <v>1</v>
      </c>
      <c r="P115" s="11">
        <v>0</v>
      </c>
      <c r="Q115" s="11">
        <v>0</v>
      </c>
      <c r="R115" s="11">
        <v>1</v>
      </c>
      <c r="S115" s="11">
        <v>1</v>
      </c>
      <c r="T115" s="11">
        <v>1</v>
      </c>
      <c r="U115" s="11">
        <v>1</v>
      </c>
      <c r="V115" s="11">
        <v>1</v>
      </c>
      <c r="W115" s="11">
        <v>1</v>
      </c>
      <c r="X115" s="11">
        <v>1</v>
      </c>
      <c r="Y115" s="11">
        <v>1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0</v>
      </c>
      <c r="AF115" s="11">
        <v>1</v>
      </c>
      <c r="AG115" s="11">
        <v>1</v>
      </c>
      <c r="AH115" s="11">
        <v>1</v>
      </c>
      <c r="AI115" s="11">
        <v>1</v>
      </c>
      <c r="AJ115" s="11">
        <v>1</v>
      </c>
      <c r="AK115" s="11">
        <v>1</v>
      </c>
      <c r="AL115" s="11">
        <v>1</v>
      </c>
      <c r="AM115" s="11">
        <v>1</v>
      </c>
      <c r="AN115" s="11">
        <v>1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5">
        <f t="shared" si="19"/>
        <v>109.32209365111437</v>
      </c>
      <c r="BH115" s="3">
        <f t="shared" si="20"/>
        <v>27.91851479136815</v>
      </c>
      <c r="BI115" s="3">
        <f t="shared" si="21"/>
        <v>27.08148520863185</v>
      </c>
      <c r="BJ115" s="3">
        <f t="shared" si="13"/>
        <v>3.0439789564816966E-2</v>
      </c>
      <c r="BK115" s="3">
        <f t="shared" si="14"/>
        <v>-0.45609683602320777</v>
      </c>
      <c r="BL115" s="3">
        <f t="shared" si="15"/>
        <v>0.94333424358242735</v>
      </c>
      <c r="BM115" s="3">
        <f t="shared" si="16"/>
        <v>0.51576270966305893</v>
      </c>
      <c r="BN115" s="3">
        <f t="shared" si="17"/>
        <v>55.157627096630591</v>
      </c>
      <c r="BO115" s="2" t="str">
        <f t="shared" si="18"/>
        <v>B</v>
      </c>
    </row>
    <row r="116" spans="1:67" x14ac:dyDescent="0.35">
      <c r="A116" s="1">
        <v>115</v>
      </c>
      <c r="B116" s="10" t="s">
        <v>145</v>
      </c>
      <c r="C116" s="11">
        <v>32</v>
      </c>
      <c r="D116" s="11">
        <v>0</v>
      </c>
      <c r="E116" s="11">
        <v>1</v>
      </c>
      <c r="F116" s="11">
        <v>0</v>
      </c>
      <c r="G116" s="11">
        <v>1</v>
      </c>
      <c r="H116" s="11">
        <v>1</v>
      </c>
      <c r="I116" s="11">
        <v>1</v>
      </c>
      <c r="J116" s="11">
        <v>1</v>
      </c>
      <c r="K116" s="11">
        <v>1</v>
      </c>
      <c r="L116" s="11">
        <v>1</v>
      </c>
      <c r="M116" s="11">
        <v>1</v>
      </c>
      <c r="N116" s="11">
        <v>0</v>
      </c>
      <c r="O116" s="11">
        <v>1</v>
      </c>
      <c r="P116" s="11">
        <v>1</v>
      </c>
      <c r="Q116" s="11">
        <v>1</v>
      </c>
      <c r="R116" s="11">
        <v>1</v>
      </c>
      <c r="S116" s="11">
        <v>1</v>
      </c>
      <c r="T116" s="11">
        <v>1</v>
      </c>
      <c r="U116" s="11">
        <v>0</v>
      </c>
      <c r="V116" s="11">
        <v>0</v>
      </c>
      <c r="W116" s="11">
        <v>1</v>
      </c>
      <c r="X116" s="11">
        <v>1</v>
      </c>
      <c r="Y116" s="11">
        <v>1</v>
      </c>
      <c r="Z116" s="11">
        <v>1</v>
      </c>
      <c r="AA116" s="11">
        <v>1</v>
      </c>
      <c r="AB116" s="11">
        <v>0</v>
      </c>
      <c r="AC116" s="11">
        <v>1</v>
      </c>
      <c r="AD116" s="11">
        <v>1</v>
      </c>
      <c r="AE116" s="11">
        <v>1</v>
      </c>
      <c r="AF116" s="11">
        <v>1</v>
      </c>
      <c r="AG116" s="11">
        <v>1</v>
      </c>
      <c r="AH116" s="11">
        <v>0</v>
      </c>
      <c r="AI116" s="11">
        <v>0</v>
      </c>
      <c r="AJ116" s="11">
        <v>1</v>
      </c>
      <c r="AK116" s="11">
        <v>1</v>
      </c>
      <c r="AL116" s="11">
        <v>1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1</v>
      </c>
      <c r="AT116" s="11">
        <v>1</v>
      </c>
      <c r="AU116" s="11">
        <v>1</v>
      </c>
      <c r="AV116" s="11">
        <v>1</v>
      </c>
      <c r="AW116" s="11">
        <v>0</v>
      </c>
      <c r="AX116" s="11">
        <v>0</v>
      </c>
      <c r="AY116" s="11">
        <v>1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5">
        <f t="shared" si="19"/>
        <v>109.2373805773625</v>
      </c>
      <c r="BH116" s="3">
        <f t="shared" si="20"/>
        <v>27.89688089172741</v>
      </c>
      <c r="BI116" s="3">
        <f t="shared" si="21"/>
        <v>27.10311910827259</v>
      </c>
      <c r="BJ116" s="3">
        <f t="shared" si="13"/>
        <v>2.8866069073437087E-2</v>
      </c>
      <c r="BK116" s="3">
        <f t="shared" si="14"/>
        <v>-0.45609683602320777</v>
      </c>
      <c r="BL116" s="3">
        <f t="shared" si="15"/>
        <v>0.94333424358242735</v>
      </c>
      <c r="BM116" s="3">
        <f t="shared" si="16"/>
        <v>0.51409445633494533</v>
      </c>
      <c r="BN116" s="3">
        <f t="shared" si="17"/>
        <v>55.14094456334945</v>
      </c>
      <c r="BO116" s="2" t="str">
        <f t="shared" si="18"/>
        <v>B</v>
      </c>
    </row>
    <row r="117" spans="1:67" x14ac:dyDescent="0.35">
      <c r="A117" s="15">
        <v>116</v>
      </c>
      <c r="B117" s="10" t="s">
        <v>146</v>
      </c>
      <c r="C117" s="11">
        <v>33</v>
      </c>
      <c r="D117" s="11">
        <v>1</v>
      </c>
      <c r="E117" s="11">
        <v>1</v>
      </c>
      <c r="F117" s="11">
        <v>1</v>
      </c>
      <c r="G117" s="11">
        <v>1</v>
      </c>
      <c r="H117" s="11">
        <v>1</v>
      </c>
      <c r="I117" s="11">
        <v>0</v>
      </c>
      <c r="J117" s="11">
        <v>1</v>
      </c>
      <c r="K117" s="11">
        <v>1</v>
      </c>
      <c r="L117" s="11">
        <v>1</v>
      </c>
      <c r="M117" s="11">
        <v>1</v>
      </c>
      <c r="N117" s="11">
        <v>1</v>
      </c>
      <c r="O117" s="11">
        <v>1</v>
      </c>
      <c r="P117" s="11">
        <v>1</v>
      </c>
      <c r="Q117" s="11">
        <v>1</v>
      </c>
      <c r="R117" s="11">
        <v>1</v>
      </c>
      <c r="S117" s="11">
        <v>1</v>
      </c>
      <c r="T117" s="11">
        <v>1</v>
      </c>
      <c r="U117" s="11">
        <v>1</v>
      </c>
      <c r="V117" s="11">
        <v>0</v>
      </c>
      <c r="W117" s="11">
        <v>0</v>
      </c>
      <c r="X117" s="11">
        <v>1</v>
      </c>
      <c r="Y117" s="11">
        <v>1</v>
      </c>
      <c r="Z117" s="11">
        <v>0</v>
      </c>
      <c r="AA117" s="11">
        <v>0</v>
      </c>
      <c r="AB117" s="11">
        <v>1</v>
      </c>
      <c r="AC117" s="11">
        <v>1</v>
      </c>
      <c r="AD117" s="11">
        <v>1</v>
      </c>
      <c r="AE117" s="11">
        <v>1</v>
      </c>
      <c r="AF117" s="11">
        <v>1</v>
      </c>
      <c r="AG117" s="11">
        <v>1</v>
      </c>
      <c r="AH117" s="11">
        <v>1</v>
      </c>
      <c r="AI117" s="11">
        <v>0</v>
      </c>
      <c r="AJ117" s="11">
        <v>1</v>
      </c>
      <c r="AK117" s="11">
        <v>1</v>
      </c>
      <c r="AL117" s="11">
        <v>1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1</v>
      </c>
      <c r="AZ117" s="11">
        <v>1</v>
      </c>
      <c r="BA117" s="11">
        <v>1</v>
      </c>
      <c r="BB117" s="11">
        <v>1</v>
      </c>
      <c r="BC117" s="11">
        <v>0</v>
      </c>
      <c r="BD117" s="11">
        <v>0</v>
      </c>
      <c r="BE117" s="11">
        <v>0</v>
      </c>
      <c r="BF117" s="11">
        <v>0</v>
      </c>
      <c r="BG117" s="5">
        <f t="shared" si="19"/>
        <v>108.23896938853865</v>
      </c>
      <c r="BH117" s="3">
        <f t="shared" si="20"/>
        <v>27.641908117129784</v>
      </c>
      <c r="BI117" s="3">
        <f t="shared" si="21"/>
        <v>27.358091882870216</v>
      </c>
      <c r="BJ117" s="3">
        <f t="shared" si="13"/>
        <v>1.032068194595815E-2</v>
      </c>
      <c r="BK117" s="3">
        <f t="shared" si="14"/>
        <v>-0.45609683602320777</v>
      </c>
      <c r="BL117" s="3">
        <f t="shared" si="15"/>
        <v>0.94333424358242735</v>
      </c>
      <c r="BM117" s="3">
        <f t="shared" si="16"/>
        <v>0.49443505432166679</v>
      </c>
      <c r="BN117" s="3">
        <f t="shared" si="17"/>
        <v>54.944350543216672</v>
      </c>
      <c r="BO117" s="2" t="str">
        <f t="shared" si="18"/>
        <v>C+</v>
      </c>
    </row>
    <row r="118" spans="1:67" x14ac:dyDescent="0.35">
      <c r="A118" s="15">
        <v>117</v>
      </c>
      <c r="B118" s="10" t="s">
        <v>147</v>
      </c>
      <c r="C118" s="11">
        <v>33</v>
      </c>
      <c r="D118" s="11">
        <v>1</v>
      </c>
      <c r="E118" s="11">
        <v>1</v>
      </c>
      <c r="F118" s="11">
        <v>1</v>
      </c>
      <c r="G118" s="11">
        <v>1</v>
      </c>
      <c r="H118" s="11">
        <v>1</v>
      </c>
      <c r="I118" s="11">
        <v>1</v>
      </c>
      <c r="J118" s="11">
        <v>1</v>
      </c>
      <c r="K118" s="11">
        <v>1</v>
      </c>
      <c r="L118" s="11">
        <v>0</v>
      </c>
      <c r="M118" s="11">
        <v>1</v>
      </c>
      <c r="N118" s="11">
        <v>1</v>
      </c>
      <c r="O118" s="11">
        <v>1</v>
      </c>
      <c r="P118" s="11">
        <v>1</v>
      </c>
      <c r="Q118" s="11">
        <v>1</v>
      </c>
      <c r="R118" s="11">
        <v>0</v>
      </c>
      <c r="S118" s="11">
        <v>1</v>
      </c>
      <c r="T118" s="11">
        <v>1</v>
      </c>
      <c r="U118" s="11">
        <v>1</v>
      </c>
      <c r="V118" s="11">
        <v>1</v>
      </c>
      <c r="W118" s="11">
        <v>1</v>
      </c>
      <c r="X118" s="11">
        <v>0</v>
      </c>
      <c r="Y118" s="11">
        <v>1</v>
      </c>
      <c r="Z118" s="11">
        <v>0</v>
      </c>
      <c r="AA118" s="11">
        <v>0</v>
      </c>
      <c r="AB118" s="11">
        <v>0</v>
      </c>
      <c r="AC118" s="11">
        <v>1</v>
      </c>
      <c r="AD118" s="11">
        <v>0</v>
      </c>
      <c r="AE118" s="11">
        <v>1</v>
      </c>
      <c r="AF118" s="11">
        <v>1</v>
      </c>
      <c r="AG118" s="11">
        <v>1</v>
      </c>
      <c r="AH118" s="11">
        <v>0</v>
      </c>
      <c r="AI118" s="11">
        <v>1</v>
      </c>
      <c r="AJ118" s="11">
        <v>1</v>
      </c>
      <c r="AK118" s="11">
        <v>1</v>
      </c>
      <c r="AL118" s="11">
        <v>1</v>
      </c>
      <c r="AM118" s="11">
        <v>0</v>
      </c>
      <c r="AN118" s="11">
        <v>0</v>
      </c>
      <c r="AO118" s="11">
        <v>0</v>
      </c>
      <c r="AP118" s="11">
        <v>0</v>
      </c>
      <c r="AQ118" s="11">
        <v>1</v>
      </c>
      <c r="AR118" s="11">
        <v>0</v>
      </c>
      <c r="AS118" s="11">
        <v>1</v>
      </c>
      <c r="AT118" s="11">
        <v>1</v>
      </c>
      <c r="AU118" s="11">
        <v>0</v>
      </c>
      <c r="AV118" s="11">
        <v>0</v>
      </c>
      <c r="AW118" s="11">
        <v>0</v>
      </c>
      <c r="AX118" s="11">
        <v>0</v>
      </c>
      <c r="AY118" s="11">
        <v>1</v>
      </c>
      <c r="AZ118" s="11">
        <v>0</v>
      </c>
      <c r="BA118" s="11">
        <v>0</v>
      </c>
      <c r="BB118" s="11">
        <v>0</v>
      </c>
      <c r="BC118" s="11">
        <v>1</v>
      </c>
      <c r="BD118" s="11">
        <v>1</v>
      </c>
      <c r="BE118" s="11">
        <v>0</v>
      </c>
      <c r="BF118" s="11">
        <v>0</v>
      </c>
      <c r="BG118" s="5">
        <f t="shared" si="19"/>
        <v>107.90464719175225</v>
      </c>
      <c r="BH118" s="3">
        <f t="shared" si="20"/>
        <v>27.556529408358884</v>
      </c>
      <c r="BI118" s="3">
        <f t="shared" si="21"/>
        <v>27.443470591641116</v>
      </c>
      <c r="BJ118" s="3">
        <f t="shared" si="13"/>
        <v>4.1112354895814955E-3</v>
      </c>
      <c r="BK118" s="3">
        <f t="shared" si="14"/>
        <v>-0.45609683602320777</v>
      </c>
      <c r="BL118" s="3">
        <f t="shared" si="15"/>
        <v>0.94333424358242735</v>
      </c>
      <c r="BM118" s="3">
        <f t="shared" si="16"/>
        <v>0.48785260859935786</v>
      </c>
      <c r="BN118" s="3">
        <f t="shared" si="17"/>
        <v>54.878526085993578</v>
      </c>
      <c r="BO118" s="2" t="str">
        <f t="shared" si="18"/>
        <v>C+</v>
      </c>
    </row>
    <row r="119" spans="1:67" x14ac:dyDescent="0.35">
      <c r="A119" s="1">
        <v>118</v>
      </c>
      <c r="B119" s="10" t="s">
        <v>148</v>
      </c>
      <c r="C119" s="11">
        <v>32</v>
      </c>
      <c r="D119" s="11">
        <v>1</v>
      </c>
      <c r="E119" s="11">
        <v>1</v>
      </c>
      <c r="F119" s="11">
        <v>1</v>
      </c>
      <c r="G119" s="11">
        <v>1</v>
      </c>
      <c r="H119" s="11">
        <v>1</v>
      </c>
      <c r="I119" s="11">
        <v>1</v>
      </c>
      <c r="J119" s="11">
        <v>1</v>
      </c>
      <c r="K119" s="11">
        <v>1</v>
      </c>
      <c r="L119" s="11">
        <v>1</v>
      </c>
      <c r="M119" s="11">
        <v>0</v>
      </c>
      <c r="N119" s="11">
        <v>1</v>
      </c>
      <c r="O119" s="11">
        <v>1</v>
      </c>
      <c r="P119" s="11">
        <v>1</v>
      </c>
      <c r="Q119" s="11">
        <v>1</v>
      </c>
      <c r="R119" s="11">
        <v>0</v>
      </c>
      <c r="S119" s="11">
        <v>1</v>
      </c>
      <c r="T119" s="11">
        <v>0</v>
      </c>
      <c r="U119" s="11">
        <v>0</v>
      </c>
      <c r="V119" s="11">
        <v>1</v>
      </c>
      <c r="W119" s="11">
        <v>1</v>
      </c>
      <c r="X119" s="11">
        <v>1</v>
      </c>
      <c r="Y119" s="11">
        <v>1</v>
      </c>
      <c r="Z119" s="11">
        <v>1</v>
      </c>
      <c r="AA119" s="11">
        <v>0</v>
      </c>
      <c r="AB119" s="11">
        <v>1</v>
      </c>
      <c r="AC119" s="11">
        <v>1</v>
      </c>
      <c r="AD119" s="11">
        <v>1</v>
      </c>
      <c r="AE119" s="11">
        <v>0</v>
      </c>
      <c r="AF119" s="11">
        <v>1</v>
      </c>
      <c r="AG119" s="11">
        <v>1</v>
      </c>
      <c r="AH119" s="11">
        <v>1</v>
      </c>
      <c r="AI119" s="11">
        <v>1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1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1</v>
      </c>
      <c r="BA119" s="11">
        <v>1</v>
      </c>
      <c r="BB119" s="11">
        <v>1</v>
      </c>
      <c r="BC119" s="11">
        <v>1</v>
      </c>
      <c r="BD119" s="11">
        <v>1</v>
      </c>
      <c r="BE119" s="11">
        <v>0</v>
      </c>
      <c r="BF119" s="11">
        <v>0</v>
      </c>
      <c r="BG119" s="5">
        <f t="shared" si="19"/>
        <v>107.87548525500873</v>
      </c>
      <c r="BH119" s="3">
        <f t="shared" si="20"/>
        <v>27.549082076029908</v>
      </c>
      <c r="BI119" s="3">
        <f t="shared" si="21"/>
        <v>27.450917923970092</v>
      </c>
      <c r="BJ119" s="3">
        <f t="shared" si="13"/>
        <v>3.5696093198061439E-3</v>
      </c>
      <c r="BK119" s="3">
        <f t="shared" si="14"/>
        <v>-0.45609683602320777</v>
      </c>
      <c r="BL119" s="3">
        <f t="shared" si="15"/>
        <v>0.94333424358242735</v>
      </c>
      <c r="BM119" s="3">
        <f t="shared" si="16"/>
        <v>0.48727844713595286</v>
      </c>
      <c r="BN119" s="3">
        <f t="shared" si="17"/>
        <v>54.87278447135953</v>
      </c>
      <c r="BO119" s="2" t="str">
        <f t="shared" si="18"/>
        <v>C+</v>
      </c>
    </row>
    <row r="120" spans="1:67" x14ac:dyDescent="0.35">
      <c r="A120" s="15">
        <v>119</v>
      </c>
      <c r="B120" s="10" t="s">
        <v>149</v>
      </c>
      <c r="C120" s="11">
        <v>34</v>
      </c>
      <c r="D120" s="11">
        <v>1</v>
      </c>
      <c r="E120" s="11">
        <v>1</v>
      </c>
      <c r="F120" s="11">
        <v>1</v>
      </c>
      <c r="G120" s="11">
        <v>1</v>
      </c>
      <c r="H120" s="11">
        <v>1</v>
      </c>
      <c r="I120" s="11">
        <v>1</v>
      </c>
      <c r="J120" s="11">
        <v>1</v>
      </c>
      <c r="K120" s="11">
        <v>1</v>
      </c>
      <c r="L120" s="11">
        <v>1</v>
      </c>
      <c r="M120" s="11">
        <v>1</v>
      </c>
      <c r="N120" s="11">
        <v>1</v>
      </c>
      <c r="O120" s="11">
        <v>1</v>
      </c>
      <c r="P120" s="11">
        <v>1</v>
      </c>
      <c r="Q120" s="11">
        <v>1</v>
      </c>
      <c r="R120" s="11">
        <v>1</v>
      </c>
      <c r="S120" s="11">
        <v>1</v>
      </c>
      <c r="T120" s="11">
        <v>1</v>
      </c>
      <c r="U120" s="11">
        <v>1</v>
      </c>
      <c r="V120" s="11">
        <v>1</v>
      </c>
      <c r="W120" s="11">
        <v>1</v>
      </c>
      <c r="X120" s="11">
        <v>1</v>
      </c>
      <c r="Y120" s="11">
        <v>1</v>
      </c>
      <c r="Z120" s="11">
        <v>0</v>
      </c>
      <c r="AA120" s="11">
        <v>0</v>
      </c>
      <c r="AB120" s="11">
        <v>0</v>
      </c>
      <c r="AC120" s="11">
        <v>1</v>
      </c>
      <c r="AD120" s="11">
        <v>0</v>
      </c>
      <c r="AE120" s="11">
        <v>1</v>
      </c>
      <c r="AF120" s="11">
        <v>0</v>
      </c>
      <c r="AG120" s="11">
        <v>1</v>
      </c>
      <c r="AH120" s="11">
        <v>1</v>
      </c>
      <c r="AI120" s="11">
        <v>1</v>
      </c>
      <c r="AJ120" s="11">
        <v>1</v>
      </c>
      <c r="AK120" s="11">
        <v>1</v>
      </c>
      <c r="AL120" s="11">
        <v>1</v>
      </c>
      <c r="AM120" s="11">
        <v>1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1</v>
      </c>
      <c r="AU120" s="11">
        <v>0</v>
      </c>
      <c r="AV120" s="11">
        <v>0</v>
      </c>
      <c r="AW120" s="11">
        <v>1</v>
      </c>
      <c r="AX120" s="11">
        <v>0</v>
      </c>
      <c r="AY120" s="11">
        <v>0</v>
      </c>
      <c r="AZ120" s="11">
        <v>0</v>
      </c>
      <c r="BA120" s="11">
        <v>1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5">
        <f t="shared" si="19"/>
        <v>107.8905219355624</v>
      </c>
      <c r="BH120" s="3">
        <f t="shared" si="20"/>
        <v>27.552922121298256</v>
      </c>
      <c r="BI120" s="3">
        <f t="shared" si="21"/>
        <v>27.447077878701744</v>
      </c>
      <c r="BJ120" s="3">
        <f t="shared" si="13"/>
        <v>3.8488863003834288E-3</v>
      </c>
      <c r="BK120" s="3">
        <f t="shared" si="14"/>
        <v>-0.45609683602320777</v>
      </c>
      <c r="BL120" s="3">
        <f t="shared" si="15"/>
        <v>0.94333424358242735</v>
      </c>
      <c r="BM120" s="3">
        <f t="shared" si="16"/>
        <v>0.48757450018658388</v>
      </c>
      <c r="BN120" s="3">
        <f t="shared" si="17"/>
        <v>54.875745001865837</v>
      </c>
      <c r="BO120" s="2" t="str">
        <f t="shared" si="18"/>
        <v>C+</v>
      </c>
    </row>
    <row r="121" spans="1:67" x14ac:dyDescent="0.35">
      <c r="A121" s="15">
        <v>120</v>
      </c>
      <c r="B121" s="10" t="s">
        <v>150</v>
      </c>
      <c r="C121" s="11">
        <v>33</v>
      </c>
      <c r="D121" s="11">
        <v>0</v>
      </c>
      <c r="E121" s="11">
        <v>1</v>
      </c>
      <c r="F121" s="11">
        <v>1</v>
      </c>
      <c r="G121" s="11">
        <v>1</v>
      </c>
      <c r="H121" s="11">
        <v>1</v>
      </c>
      <c r="I121" s="11">
        <v>0</v>
      </c>
      <c r="J121" s="11">
        <v>1</v>
      </c>
      <c r="K121" s="11">
        <v>1</v>
      </c>
      <c r="L121" s="11">
        <v>1</v>
      </c>
      <c r="M121" s="11">
        <v>1</v>
      </c>
      <c r="N121" s="11">
        <v>1</v>
      </c>
      <c r="O121" s="11">
        <v>1</v>
      </c>
      <c r="P121" s="11">
        <v>1</v>
      </c>
      <c r="Q121" s="11">
        <v>1</v>
      </c>
      <c r="R121" s="11">
        <v>1</v>
      </c>
      <c r="S121" s="11">
        <v>1</v>
      </c>
      <c r="T121" s="11">
        <v>1</v>
      </c>
      <c r="U121" s="11">
        <v>1</v>
      </c>
      <c r="V121" s="11">
        <v>1</v>
      </c>
      <c r="W121" s="11">
        <v>1</v>
      </c>
      <c r="X121" s="11">
        <v>1</v>
      </c>
      <c r="Y121" s="11">
        <v>1</v>
      </c>
      <c r="Z121" s="11">
        <v>1</v>
      </c>
      <c r="AA121" s="11">
        <v>0</v>
      </c>
      <c r="AB121" s="11">
        <v>1</v>
      </c>
      <c r="AC121" s="11">
        <v>1</v>
      </c>
      <c r="AD121" s="11">
        <v>1</v>
      </c>
      <c r="AE121" s="11">
        <v>1</v>
      </c>
      <c r="AF121" s="11">
        <v>1</v>
      </c>
      <c r="AG121" s="11">
        <v>0</v>
      </c>
      <c r="AH121" s="11">
        <v>1</v>
      </c>
      <c r="AI121" s="11">
        <v>1</v>
      </c>
      <c r="AJ121" s="11">
        <v>0</v>
      </c>
      <c r="AK121" s="11">
        <v>1</v>
      </c>
      <c r="AL121" s="11">
        <v>0</v>
      </c>
      <c r="AM121" s="11">
        <v>1</v>
      </c>
      <c r="AN121" s="11">
        <v>1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1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1</v>
      </c>
      <c r="BD121" s="11">
        <v>0</v>
      </c>
      <c r="BE121" s="11">
        <v>0</v>
      </c>
      <c r="BF121" s="11">
        <v>0</v>
      </c>
      <c r="BG121" s="5">
        <f t="shared" si="19"/>
        <v>107.6366396332526</v>
      </c>
      <c r="BH121" s="3">
        <f t="shared" si="20"/>
        <v>27.488086033956904</v>
      </c>
      <c r="BI121" s="3">
        <f t="shared" si="21"/>
        <v>27.511913966043096</v>
      </c>
      <c r="BJ121" s="3">
        <f t="shared" si="13"/>
        <v>-8.6647031188973414E-4</v>
      </c>
      <c r="BK121" s="3">
        <f t="shared" si="14"/>
        <v>-0.45609683602320777</v>
      </c>
      <c r="BL121" s="3">
        <f t="shared" si="15"/>
        <v>0.94333424358242735</v>
      </c>
      <c r="BM121" s="3">
        <f t="shared" si="16"/>
        <v>0.4825758937601215</v>
      </c>
      <c r="BN121" s="3">
        <f t="shared" si="17"/>
        <v>54.825758937601215</v>
      </c>
      <c r="BO121" s="2" t="str">
        <f t="shared" si="18"/>
        <v>C+</v>
      </c>
    </row>
    <row r="122" spans="1:67" x14ac:dyDescent="0.35">
      <c r="A122" s="1">
        <v>121</v>
      </c>
      <c r="B122" s="10" t="s">
        <v>151</v>
      </c>
      <c r="C122" s="11">
        <v>32</v>
      </c>
      <c r="D122" s="11">
        <v>1</v>
      </c>
      <c r="E122" s="11">
        <v>0</v>
      </c>
      <c r="F122" s="11">
        <v>1</v>
      </c>
      <c r="G122" s="11">
        <v>1</v>
      </c>
      <c r="H122" s="11">
        <v>1</v>
      </c>
      <c r="I122" s="11">
        <v>1</v>
      </c>
      <c r="J122" s="11">
        <v>1</v>
      </c>
      <c r="K122" s="11">
        <v>1</v>
      </c>
      <c r="L122" s="11">
        <v>0</v>
      </c>
      <c r="M122" s="11">
        <v>1</v>
      </c>
      <c r="N122" s="11">
        <v>0</v>
      </c>
      <c r="O122" s="11">
        <v>1</v>
      </c>
      <c r="P122" s="11">
        <v>1</v>
      </c>
      <c r="Q122" s="11">
        <v>1</v>
      </c>
      <c r="R122" s="11">
        <v>0</v>
      </c>
      <c r="S122" s="11">
        <v>1</v>
      </c>
      <c r="T122" s="11">
        <v>1</v>
      </c>
      <c r="U122" s="11">
        <v>1</v>
      </c>
      <c r="V122" s="11">
        <v>1</v>
      </c>
      <c r="W122" s="11">
        <v>1</v>
      </c>
      <c r="X122" s="11">
        <v>0</v>
      </c>
      <c r="Y122" s="11">
        <v>0</v>
      </c>
      <c r="Z122" s="11">
        <v>1</v>
      </c>
      <c r="AA122" s="11">
        <v>0</v>
      </c>
      <c r="AB122" s="11">
        <v>0</v>
      </c>
      <c r="AC122" s="11">
        <v>1</v>
      </c>
      <c r="AD122" s="11">
        <v>0</v>
      </c>
      <c r="AE122" s="11">
        <v>1</v>
      </c>
      <c r="AF122" s="11">
        <v>1</v>
      </c>
      <c r="AG122" s="11">
        <v>1</v>
      </c>
      <c r="AH122" s="11">
        <v>0</v>
      </c>
      <c r="AI122" s="11">
        <v>0</v>
      </c>
      <c r="AJ122" s="11">
        <v>1</v>
      </c>
      <c r="AK122" s="11">
        <v>1</v>
      </c>
      <c r="AL122" s="11">
        <v>1</v>
      </c>
      <c r="AM122" s="11">
        <v>0</v>
      </c>
      <c r="AN122" s="11">
        <v>1</v>
      </c>
      <c r="AO122" s="11">
        <v>0</v>
      </c>
      <c r="AP122" s="11">
        <v>0</v>
      </c>
      <c r="AQ122" s="11">
        <v>1</v>
      </c>
      <c r="AR122" s="11">
        <v>1</v>
      </c>
      <c r="AS122" s="11">
        <v>0</v>
      </c>
      <c r="AT122" s="11">
        <v>1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1</v>
      </c>
      <c r="BA122" s="11">
        <v>0</v>
      </c>
      <c r="BB122" s="11">
        <v>1</v>
      </c>
      <c r="BC122" s="11">
        <v>1</v>
      </c>
      <c r="BD122" s="11">
        <v>1</v>
      </c>
      <c r="BE122" s="11">
        <v>0</v>
      </c>
      <c r="BF122" s="11">
        <v>0</v>
      </c>
      <c r="BG122" s="5">
        <f t="shared" si="19"/>
        <v>107.44982978851601</v>
      </c>
      <c r="BH122" s="3">
        <f t="shared" si="20"/>
        <v>27.440378811754449</v>
      </c>
      <c r="BI122" s="3">
        <f t="shared" si="21"/>
        <v>27.559621188245551</v>
      </c>
      <c r="BJ122" s="3">
        <f t="shared" si="13"/>
        <v>-4.3360932116739727E-3</v>
      </c>
      <c r="BK122" s="3">
        <f t="shared" si="14"/>
        <v>-0.45609683602320777</v>
      </c>
      <c r="BL122" s="3">
        <f t="shared" si="15"/>
        <v>0.94333424358242735</v>
      </c>
      <c r="BM122" s="3">
        <f t="shared" si="16"/>
        <v>0.47889785183236538</v>
      </c>
      <c r="BN122" s="3">
        <f t="shared" si="17"/>
        <v>54.788978518323653</v>
      </c>
      <c r="BO122" s="2" t="str">
        <f t="shared" si="18"/>
        <v>C+</v>
      </c>
    </row>
    <row r="123" spans="1:67" x14ac:dyDescent="0.35">
      <c r="A123" s="15">
        <v>122</v>
      </c>
      <c r="B123" s="12">
        <v>8089088</v>
      </c>
      <c r="C123" s="11">
        <v>33</v>
      </c>
      <c r="D123" s="11">
        <v>1</v>
      </c>
      <c r="E123" s="11">
        <v>1</v>
      </c>
      <c r="F123" s="11">
        <v>0</v>
      </c>
      <c r="G123" s="11">
        <v>1</v>
      </c>
      <c r="H123" s="11">
        <v>1</v>
      </c>
      <c r="I123" s="11">
        <v>1</v>
      </c>
      <c r="J123" s="11">
        <v>1</v>
      </c>
      <c r="K123" s="11">
        <v>1</v>
      </c>
      <c r="L123" s="11">
        <v>1</v>
      </c>
      <c r="M123" s="11">
        <v>1</v>
      </c>
      <c r="N123" s="11">
        <v>1</v>
      </c>
      <c r="O123" s="11">
        <v>1</v>
      </c>
      <c r="P123" s="11">
        <v>1</v>
      </c>
      <c r="Q123" s="11">
        <v>1</v>
      </c>
      <c r="R123" s="11">
        <v>1</v>
      </c>
      <c r="S123" s="11">
        <v>1</v>
      </c>
      <c r="T123" s="11">
        <v>1</v>
      </c>
      <c r="U123" s="11">
        <v>0</v>
      </c>
      <c r="V123" s="11">
        <v>1</v>
      </c>
      <c r="W123" s="11">
        <v>1</v>
      </c>
      <c r="X123" s="11">
        <v>1</v>
      </c>
      <c r="Y123" s="11">
        <v>1</v>
      </c>
      <c r="Z123" s="11">
        <v>1</v>
      </c>
      <c r="AA123" s="11">
        <v>1</v>
      </c>
      <c r="AB123" s="11">
        <v>0</v>
      </c>
      <c r="AC123" s="11">
        <v>1</v>
      </c>
      <c r="AD123" s="11">
        <v>1</v>
      </c>
      <c r="AE123" s="11">
        <v>1</v>
      </c>
      <c r="AF123" s="11">
        <v>1</v>
      </c>
      <c r="AG123" s="11">
        <v>1</v>
      </c>
      <c r="AH123" s="11">
        <v>1</v>
      </c>
      <c r="AI123" s="11">
        <v>0</v>
      </c>
      <c r="AJ123" s="11">
        <v>0</v>
      </c>
      <c r="AK123" s="11">
        <v>0</v>
      </c>
      <c r="AL123" s="11">
        <v>0</v>
      </c>
      <c r="AM123" s="11">
        <v>1</v>
      </c>
      <c r="AN123" s="11">
        <v>0</v>
      </c>
      <c r="AO123" s="11">
        <v>1</v>
      </c>
      <c r="AP123" s="11">
        <v>0</v>
      </c>
      <c r="AQ123" s="11">
        <v>1</v>
      </c>
      <c r="AR123" s="11">
        <v>1</v>
      </c>
      <c r="AS123" s="11">
        <v>0</v>
      </c>
      <c r="AT123" s="11">
        <v>1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5">
        <f t="shared" si="19"/>
        <v>107.32407891834217</v>
      </c>
      <c r="BH123" s="3">
        <f t="shared" si="20"/>
        <v>27.40826474028249</v>
      </c>
      <c r="BI123" s="3">
        <f t="shared" si="21"/>
        <v>27.59173525971751</v>
      </c>
      <c r="BJ123" s="3">
        <f t="shared" si="13"/>
        <v>-6.6716799991760212E-3</v>
      </c>
      <c r="BK123" s="3">
        <f t="shared" si="14"/>
        <v>-0.45609683602320777</v>
      </c>
      <c r="BL123" s="3">
        <f t="shared" si="15"/>
        <v>0.94333424358242735</v>
      </c>
      <c r="BM123" s="3">
        <f t="shared" si="16"/>
        <v>0.47642196716752772</v>
      </c>
      <c r="BN123" s="3">
        <f t="shared" si="17"/>
        <v>54.764219671675278</v>
      </c>
      <c r="BO123" s="2" t="str">
        <f t="shared" si="18"/>
        <v>C+</v>
      </c>
    </row>
    <row r="124" spans="1:67" x14ac:dyDescent="0.35">
      <c r="A124" s="15">
        <v>123</v>
      </c>
      <c r="B124" s="12">
        <v>1303287</v>
      </c>
      <c r="C124" s="11">
        <v>33</v>
      </c>
      <c r="D124" s="11">
        <v>1</v>
      </c>
      <c r="E124" s="11">
        <v>1</v>
      </c>
      <c r="F124" s="11">
        <v>1</v>
      </c>
      <c r="G124" s="11">
        <v>1</v>
      </c>
      <c r="H124" s="11">
        <v>1</v>
      </c>
      <c r="I124" s="11">
        <v>1</v>
      </c>
      <c r="J124" s="11">
        <v>1</v>
      </c>
      <c r="K124" s="11">
        <v>1</v>
      </c>
      <c r="L124" s="11">
        <v>1</v>
      </c>
      <c r="M124" s="11">
        <v>0</v>
      </c>
      <c r="N124" s="11">
        <v>1</v>
      </c>
      <c r="O124" s="11">
        <v>1</v>
      </c>
      <c r="P124" s="11">
        <v>1</v>
      </c>
      <c r="Q124" s="11">
        <v>1</v>
      </c>
      <c r="R124" s="11">
        <v>0</v>
      </c>
      <c r="S124" s="11">
        <v>1</v>
      </c>
      <c r="T124" s="11">
        <v>1</v>
      </c>
      <c r="U124" s="11">
        <v>0</v>
      </c>
      <c r="V124" s="11">
        <v>0</v>
      </c>
      <c r="W124" s="11">
        <v>1</v>
      </c>
      <c r="X124" s="11">
        <v>1</v>
      </c>
      <c r="Y124" s="11">
        <v>1</v>
      </c>
      <c r="Z124" s="11">
        <v>1</v>
      </c>
      <c r="AA124" s="11">
        <v>0</v>
      </c>
      <c r="AB124" s="11">
        <v>0</v>
      </c>
      <c r="AC124" s="11">
        <v>1</v>
      </c>
      <c r="AD124" s="11">
        <v>1</v>
      </c>
      <c r="AE124" s="11">
        <v>1</v>
      </c>
      <c r="AF124" s="11">
        <v>1</v>
      </c>
      <c r="AG124" s="11">
        <v>1</v>
      </c>
      <c r="AH124" s="11">
        <v>1</v>
      </c>
      <c r="AI124" s="11">
        <v>0</v>
      </c>
      <c r="AJ124" s="11">
        <v>1</v>
      </c>
      <c r="AK124" s="11">
        <v>1</v>
      </c>
      <c r="AL124" s="11">
        <v>1</v>
      </c>
      <c r="AM124" s="11">
        <v>1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1</v>
      </c>
      <c r="AT124" s="11">
        <v>1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1</v>
      </c>
      <c r="BD124" s="11">
        <v>1</v>
      </c>
      <c r="BE124" s="11">
        <v>0</v>
      </c>
      <c r="BF124" s="11">
        <v>0</v>
      </c>
      <c r="BG124" s="5">
        <f t="shared" si="19"/>
        <v>107.28583568910535</v>
      </c>
      <c r="BH124" s="3">
        <f t="shared" si="20"/>
        <v>27.398498240891026</v>
      </c>
      <c r="BI124" s="3">
        <f t="shared" si="21"/>
        <v>27.601501759108974</v>
      </c>
      <c r="BJ124" s="3">
        <f t="shared" si="13"/>
        <v>-7.3819796394017532E-3</v>
      </c>
      <c r="BK124" s="3">
        <f t="shared" si="14"/>
        <v>-0.45609683602320777</v>
      </c>
      <c r="BL124" s="3">
        <f t="shared" si="15"/>
        <v>0.94333424358242735</v>
      </c>
      <c r="BM124" s="3">
        <f t="shared" si="16"/>
        <v>0.47566900007759327</v>
      </c>
      <c r="BN124" s="3">
        <f t="shared" si="17"/>
        <v>54.756690000775933</v>
      </c>
      <c r="BO124" s="2" t="str">
        <f t="shared" si="18"/>
        <v>C+</v>
      </c>
    </row>
    <row r="125" spans="1:67" x14ac:dyDescent="0.35">
      <c r="A125" s="1">
        <v>124</v>
      </c>
      <c r="B125" s="12">
        <v>1111101</v>
      </c>
      <c r="C125" s="11">
        <v>32</v>
      </c>
      <c r="D125" s="11">
        <v>1</v>
      </c>
      <c r="E125" s="11">
        <v>1</v>
      </c>
      <c r="F125" s="11">
        <v>1</v>
      </c>
      <c r="G125" s="11">
        <v>1</v>
      </c>
      <c r="H125" s="11">
        <v>1</v>
      </c>
      <c r="I125" s="11">
        <v>0</v>
      </c>
      <c r="J125" s="11">
        <v>1</v>
      </c>
      <c r="K125" s="11">
        <v>1</v>
      </c>
      <c r="L125" s="11">
        <v>1</v>
      </c>
      <c r="M125" s="11">
        <v>1</v>
      </c>
      <c r="N125" s="11">
        <v>1</v>
      </c>
      <c r="O125" s="11">
        <v>1</v>
      </c>
      <c r="P125" s="11">
        <v>1</v>
      </c>
      <c r="Q125" s="11">
        <v>1</v>
      </c>
      <c r="R125" s="11">
        <v>0</v>
      </c>
      <c r="S125" s="11">
        <v>1</v>
      </c>
      <c r="T125" s="11">
        <v>0</v>
      </c>
      <c r="U125" s="11">
        <v>1</v>
      </c>
      <c r="V125" s="11">
        <v>0</v>
      </c>
      <c r="W125" s="11">
        <v>1</v>
      </c>
      <c r="X125" s="11">
        <v>0</v>
      </c>
      <c r="Y125" s="11">
        <v>0</v>
      </c>
      <c r="Z125" s="11">
        <v>1</v>
      </c>
      <c r="AA125" s="11">
        <v>0</v>
      </c>
      <c r="AB125" s="11">
        <v>0</v>
      </c>
      <c r="AC125" s="11">
        <v>1</v>
      </c>
      <c r="AD125" s="11">
        <v>0</v>
      </c>
      <c r="AE125" s="11">
        <v>1</v>
      </c>
      <c r="AF125" s="11">
        <v>1</v>
      </c>
      <c r="AG125" s="11">
        <v>0</v>
      </c>
      <c r="AH125" s="11">
        <v>1</v>
      </c>
      <c r="AI125" s="11">
        <v>1</v>
      </c>
      <c r="AJ125" s="11">
        <v>1</v>
      </c>
      <c r="AK125" s="11">
        <v>1</v>
      </c>
      <c r="AL125" s="11">
        <v>1</v>
      </c>
      <c r="AM125" s="11">
        <v>1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1</v>
      </c>
      <c r="AU125" s="11">
        <v>0</v>
      </c>
      <c r="AV125" s="11">
        <v>0</v>
      </c>
      <c r="AW125" s="11">
        <v>1</v>
      </c>
      <c r="AX125" s="11">
        <v>1</v>
      </c>
      <c r="AY125" s="11">
        <v>0</v>
      </c>
      <c r="AZ125" s="11">
        <v>0</v>
      </c>
      <c r="BA125" s="11">
        <v>0</v>
      </c>
      <c r="BB125" s="11">
        <v>1</v>
      </c>
      <c r="BC125" s="11">
        <v>1</v>
      </c>
      <c r="BD125" s="11">
        <v>1</v>
      </c>
      <c r="BE125" s="11">
        <v>0</v>
      </c>
      <c r="BF125" s="11">
        <v>0</v>
      </c>
      <c r="BG125" s="5">
        <f t="shared" si="19"/>
        <v>106.89894670581002</v>
      </c>
      <c r="BH125" s="3">
        <f t="shared" si="20"/>
        <v>27.299695103830558</v>
      </c>
      <c r="BI125" s="3">
        <f t="shared" si="21"/>
        <v>27.700304896169442</v>
      </c>
      <c r="BJ125" s="3">
        <f t="shared" si="13"/>
        <v>-1.4567886443952139E-2</v>
      </c>
      <c r="BK125" s="3">
        <f t="shared" si="14"/>
        <v>-0.45609683602320777</v>
      </c>
      <c r="BL125" s="3">
        <f t="shared" si="15"/>
        <v>0.94333424358242735</v>
      </c>
      <c r="BM125" s="3">
        <f t="shared" si="16"/>
        <v>0.46805143837723456</v>
      </c>
      <c r="BN125" s="3">
        <f t="shared" si="17"/>
        <v>54.680514383772348</v>
      </c>
      <c r="BO125" s="2" t="str">
        <f t="shared" si="18"/>
        <v>C+</v>
      </c>
    </row>
    <row r="126" spans="1:67" x14ac:dyDescent="0.35">
      <c r="A126" s="15">
        <v>125</v>
      </c>
      <c r="B126" s="10" t="s">
        <v>152</v>
      </c>
      <c r="C126" s="11">
        <v>33</v>
      </c>
      <c r="D126" s="11">
        <v>1</v>
      </c>
      <c r="E126" s="11">
        <v>1</v>
      </c>
      <c r="F126" s="11">
        <v>1</v>
      </c>
      <c r="G126" s="11">
        <v>1</v>
      </c>
      <c r="H126" s="11">
        <v>1</v>
      </c>
      <c r="I126" s="11">
        <v>1</v>
      </c>
      <c r="J126" s="11">
        <v>1</v>
      </c>
      <c r="K126" s="11">
        <v>1</v>
      </c>
      <c r="L126" s="11">
        <v>1</v>
      </c>
      <c r="M126" s="11">
        <v>1</v>
      </c>
      <c r="N126" s="11">
        <v>0</v>
      </c>
      <c r="O126" s="11">
        <v>1</v>
      </c>
      <c r="P126" s="11">
        <v>0</v>
      </c>
      <c r="Q126" s="11">
        <v>1</v>
      </c>
      <c r="R126" s="11">
        <v>1</v>
      </c>
      <c r="S126" s="11">
        <v>1</v>
      </c>
      <c r="T126" s="11">
        <v>1</v>
      </c>
      <c r="U126" s="11">
        <v>1</v>
      </c>
      <c r="V126" s="11">
        <v>0</v>
      </c>
      <c r="W126" s="11">
        <v>1</v>
      </c>
      <c r="X126" s="11">
        <v>0</v>
      </c>
      <c r="Y126" s="11">
        <v>1</v>
      </c>
      <c r="Z126" s="11">
        <v>1</v>
      </c>
      <c r="AA126" s="11">
        <v>1</v>
      </c>
      <c r="AB126" s="11">
        <v>0</v>
      </c>
      <c r="AC126" s="11">
        <v>1</v>
      </c>
      <c r="AD126" s="11">
        <v>1</v>
      </c>
      <c r="AE126" s="11">
        <v>1</v>
      </c>
      <c r="AF126" s="11">
        <v>1</v>
      </c>
      <c r="AG126" s="11">
        <v>1</v>
      </c>
      <c r="AH126" s="11">
        <v>0</v>
      </c>
      <c r="AI126" s="11">
        <v>1</v>
      </c>
      <c r="AJ126" s="11">
        <v>1</v>
      </c>
      <c r="AK126" s="11">
        <v>0</v>
      </c>
      <c r="AL126" s="11">
        <v>1</v>
      </c>
      <c r="AM126" s="11">
        <v>1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1</v>
      </c>
      <c r="AU126" s="11">
        <v>0</v>
      </c>
      <c r="AV126" s="11">
        <v>0</v>
      </c>
      <c r="AW126" s="11">
        <v>0</v>
      </c>
      <c r="AX126" s="11">
        <v>0</v>
      </c>
      <c r="AY126" s="11">
        <v>1</v>
      </c>
      <c r="AZ126" s="11">
        <v>0</v>
      </c>
      <c r="BA126" s="11">
        <v>0</v>
      </c>
      <c r="BB126" s="11">
        <v>1</v>
      </c>
      <c r="BC126" s="11">
        <v>0</v>
      </c>
      <c r="BD126" s="11">
        <v>1</v>
      </c>
      <c r="BE126" s="11">
        <v>0</v>
      </c>
      <c r="BF126" s="11">
        <v>0</v>
      </c>
      <c r="BG126" s="5">
        <f t="shared" si="19"/>
        <v>106.84622636624567</v>
      </c>
      <c r="BH126" s="3">
        <f t="shared" si="20"/>
        <v>27.286231461388521</v>
      </c>
      <c r="BI126" s="3">
        <f t="shared" si="21"/>
        <v>27.713768538611479</v>
      </c>
      <c r="BJ126" s="3">
        <f t="shared" si="13"/>
        <v>-1.5547115961968262E-2</v>
      </c>
      <c r="BK126" s="3">
        <f t="shared" si="14"/>
        <v>-0.45609683602320777</v>
      </c>
      <c r="BL126" s="3">
        <f t="shared" si="15"/>
        <v>0.94333424358242735</v>
      </c>
      <c r="BM126" s="3">
        <f t="shared" si="16"/>
        <v>0.46701338688628324</v>
      </c>
      <c r="BN126" s="3">
        <f t="shared" si="17"/>
        <v>54.670133868862834</v>
      </c>
      <c r="BO126" s="2" t="str">
        <f t="shared" si="18"/>
        <v>C+</v>
      </c>
    </row>
    <row r="127" spans="1:67" x14ac:dyDescent="0.35">
      <c r="A127" s="15">
        <v>126</v>
      </c>
      <c r="B127" s="10" t="s">
        <v>153</v>
      </c>
      <c r="C127" s="11">
        <v>33</v>
      </c>
      <c r="D127" s="11">
        <v>1</v>
      </c>
      <c r="E127" s="11">
        <v>1</v>
      </c>
      <c r="F127" s="11">
        <v>1</v>
      </c>
      <c r="G127" s="11">
        <v>1</v>
      </c>
      <c r="H127" s="11">
        <v>1</v>
      </c>
      <c r="I127" s="11">
        <v>1</v>
      </c>
      <c r="J127" s="11">
        <v>1</v>
      </c>
      <c r="K127" s="11">
        <v>1</v>
      </c>
      <c r="L127" s="11">
        <v>1</v>
      </c>
      <c r="M127" s="11">
        <v>1</v>
      </c>
      <c r="N127" s="11">
        <v>0</v>
      </c>
      <c r="O127" s="11">
        <v>1</v>
      </c>
      <c r="P127" s="11">
        <v>1</v>
      </c>
      <c r="Q127" s="11">
        <v>1</v>
      </c>
      <c r="R127" s="11">
        <v>0</v>
      </c>
      <c r="S127" s="11">
        <v>1</v>
      </c>
      <c r="T127" s="11">
        <v>1</v>
      </c>
      <c r="U127" s="11">
        <v>1</v>
      </c>
      <c r="V127" s="11">
        <v>1</v>
      </c>
      <c r="W127" s="11">
        <v>1</v>
      </c>
      <c r="X127" s="11">
        <v>1</v>
      </c>
      <c r="Y127" s="11">
        <v>1</v>
      </c>
      <c r="Z127" s="11">
        <v>1</v>
      </c>
      <c r="AA127" s="11">
        <v>0</v>
      </c>
      <c r="AB127" s="11">
        <v>1</v>
      </c>
      <c r="AC127" s="11">
        <v>1</v>
      </c>
      <c r="AD127" s="11">
        <v>0</v>
      </c>
      <c r="AE127" s="11">
        <v>0</v>
      </c>
      <c r="AF127" s="11">
        <v>1</v>
      </c>
      <c r="AG127" s="11">
        <v>1</v>
      </c>
      <c r="AH127" s="11">
        <v>1</v>
      </c>
      <c r="AI127" s="11">
        <v>1</v>
      </c>
      <c r="AJ127" s="11">
        <v>1</v>
      </c>
      <c r="AK127" s="11">
        <v>1</v>
      </c>
      <c r="AL127" s="11">
        <v>1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1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1</v>
      </c>
      <c r="BD127" s="11">
        <v>1</v>
      </c>
      <c r="BE127" s="11">
        <v>0</v>
      </c>
      <c r="BF127" s="11">
        <v>0</v>
      </c>
      <c r="BG127" s="5">
        <f t="shared" si="19"/>
        <v>105.90071751606781</v>
      </c>
      <c r="BH127" s="3">
        <f t="shared" si="20"/>
        <v>27.044768807889561</v>
      </c>
      <c r="BI127" s="3">
        <f t="shared" si="21"/>
        <v>27.955231192110439</v>
      </c>
      <c r="BJ127" s="3">
        <f t="shared" si="13"/>
        <v>-3.3110747733347025E-2</v>
      </c>
      <c r="BK127" s="3">
        <f t="shared" si="14"/>
        <v>-0.45609683602320777</v>
      </c>
      <c r="BL127" s="3">
        <f t="shared" si="15"/>
        <v>0.94333424358242735</v>
      </c>
      <c r="BM127" s="3">
        <f t="shared" si="16"/>
        <v>0.44839471392824587</v>
      </c>
      <c r="BN127" s="3">
        <f t="shared" si="17"/>
        <v>54.483947139282456</v>
      </c>
      <c r="BO127" s="2" t="str">
        <f t="shared" si="18"/>
        <v>C+</v>
      </c>
    </row>
    <row r="128" spans="1:67" x14ac:dyDescent="0.35">
      <c r="A128" s="1">
        <v>127</v>
      </c>
      <c r="B128" s="10" t="s">
        <v>154</v>
      </c>
      <c r="C128" s="11">
        <v>32</v>
      </c>
      <c r="D128" s="11">
        <v>1</v>
      </c>
      <c r="E128" s="11">
        <v>1</v>
      </c>
      <c r="F128" s="11">
        <v>1</v>
      </c>
      <c r="G128" s="11">
        <v>1</v>
      </c>
      <c r="H128" s="11">
        <v>1</v>
      </c>
      <c r="I128" s="11">
        <v>1</v>
      </c>
      <c r="J128" s="11">
        <v>1</v>
      </c>
      <c r="K128" s="11">
        <v>1</v>
      </c>
      <c r="L128" s="11">
        <v>1</v>
      </c>
      <c r="M128" s="11">
        <v>1</v>
      </c>
      <c r="N128" s="11">
        <v>0</v>
      </c>
      <c r="O128" s="11">
        <v>1</v>
      </c>
      <c r="P128" s="11">
        <v>1</v>
      </c>
      <c r="Q128" s="11">
        <v>1</v>
      </c>
      <c r="R128" s="11">
        <v>0</v>
      </c>
      <c r="S128" s="11">
        <v>1</v>
      </c>
      <c r="T128" s="11">
        <v>1</v>
      </c>
      <c r="U128" s="11">
        <v>1</v>
      </c>
      <c r="V128" s="11">
        <v>0</v>
      </c>
      <c r="W128" s="11">
        <v>1</v>
      </c>
      <c r="X128" s="11">
        <v>1</v>
      </c>
      <c r="Y128" s="11">
        <v>1</v>
      </c>
      <c r="Z128" s="11">
        <v>1</v>
      </c>
      <c r="AA128" s="11">
        <v>0</v>
      </c>
      <c r="AB128" s="11">
        <v>0</v>
      </c>
      <c r="AC128" s="11">
        <v>1</v>
      </c>
      <c r="AD128" s="11">
        <v>1</v>
      </c>
      <c r="AE128" s="11">
        <v>0</v>
      </c>
      <c r="AF128" s="11">
        <v>1</v>
      </c>
      <c r="AG128" s="11">
        <v>0</v>
      </c>
      <c r="AH128" s="11">
        <v>1</v>
      </c>
      <c r="AI128" s="11">
        <v>1</v>
      </c>
      <c r="AJ128" s="11">
        <v>1</v>
      </c>
      <c r="AK128" s="11">
        <v>1</v>
      </c>
      <c r="AL128" s="11">
        <v>1</v>
      </c>
      <c r="AM128" s="11">
        <v>0</v>
      </c>
      <c r="AN128" s="11">
        <v>0</v>
      </c>
      <c r="AO128" s="11">
        <v>0</v>
      </c>
      <c r="AP128" s="11">
        <v>1</v>
      </c>
      <c r="AQ128" s="11">
        <v>0</v>
      </c>
      <c r="AR128" s="11">
        <v>0</v>
      </c>
      <c r="AS128" s="11">
        <v>0</v>
      </c>
      <c r="AT128" s="11">
        <v>1</v>
      </c>
      <c r="AU128" s="11">
        <v>1</v>
      </c>
      <c r="AV128" s="11">
        <v>1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5">
        <f t="shared" si="19"/>
        <v>104.89722654978583</v>
      </c>
      <c r="BH128" s="3">
        <f t="shared" si="20"/>
        <v>26.788498767228276</v>
      </c>
      <c r="BI128" s="3">
        <f t="shared" si="21"/>
        <v>28.211501232771724</v>
      </c>
      <c r="BJ128" s="3">
        <f t="shared" si="13"/>
        <v>-5.175709500276246E-2</v>
      </c>
      <c r="BK128" s="3">
        <f t="shared" si="14"/>
        <v>-0.45609683602320777</v>
      </c>
      <c r="BL128" s="3">
        <f t="shared" si="15"/>
        <v>0.94333424358242735</v>
      </c>
      <c r="BM128" s="3">
        <f t="shared" si="16"/>
        <v>0.42862828713279361</v>
      </c>
      <c r="BN128" s="3">
        <f t="shared" si="17"/>
        <v>54.286282871327934</v>
      </c>
      <c r="BO128" s="2" t="str">
        <f t="shared" si="18"/>
        <v>C+</v>
      </c>
    </row>
    <row r="129" spans="1:67" x14ac:dyDescent="0.35">
      <c r="A129" s="15">
        <v>128</v>
      </c>
      <c r="B129" s="10" t="s">
        <v>155</v>
      </c>
      <c r="C129" s="11">
        <v>32</v>
      </c>
      <c r="D129" s="11">
        <v>1</v>
      </c>
      <c r="E129" s="11">
        <v>0</v>
      </c>
      <c r="F129" s="11">
        <v>1</v>
      </c>
      <c r="G129" s="11">
        <v>1</v>
      </c>
      <c r="H129" s="11">
        <v>1</v>
      </c>
      <c r="I129" s="11">
        <v>1</v>
      </c>
      <c r="J129" s="11">
        <v>1</v>
      </c>
      <c r="K129" s="11">
        <v>1</v>
      </c>
      <c r="L129" s="11">
        <v>1</v>
      </c>
      <c r="M129" s="11">
        <v>1</v>
      </c>
      <c r="N129" s="11">
        <v>1</v>
      </c>
      <c r="O129" s="11">
        <v>1</v>
      </c>
      <c r="P129" s="11">
        <v>1</v>
      </c>
      <c r="Q129" s="11">
        <v>1</v>
      </c>
      <c r="R129" s="11">
        <v>1</v>
      </c>
      <c r="S129" s="11">
        <v>1</v>
      </c>
      <c r="T129" s="11">
        <v>1</v>
      </c>
      <c r="U129" s="11">
        <v>1</v>
      </c>
      <c r="V129" s="11">
        <v>1</v>
      </c>
      <c r="W129" s="11">
        <v>1</v>
      </c>
      <c r="X129" s="11">
        <v>1</v>
      </c>
      <c r="Y129" s="11">
        <v>1</v>
      </c>
      <c r="Z129" s="11">
        <v>0</v>
      </c>
      <c r="AA129" s="11">
        <v>1</v>
      </c>
      <c r="AB129" s="11">
        <v>1</v>
      </c>
      <c r="AC129" s="11">
        <v>1</v>
      </c>
      <c r="AD129" s="11">
        <v>0</v>
      </c>
      <c r="AE129" s="11">
        <v>1</v>
      </c>
      <c r="AF129" s="11">
        <v>1</v>
      </c>
      <c r="AG129" s="11">
        <v>1</v>
      </c>
      <c r="AH129" s="11">
        <v>0</v>
      </c>
      <c r="AI129" s="11">
        <v>1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1</v>
      </c>
      <c r="AT129" s="11">
        <v>1</v>
      </c>
      <c r="AU129" s="11">
        <v>1</v>
      </c>
      <c r="AV129" s="11">
        <v>1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5">
        <f t="shared" si="19"/>
        <v>104.81458706791464</v>
      </c>
      <c r="BH129" s="3">
        <f t="shared" si="20"/>
        <v>26.767394418419016</v>
      </c>
      <c r="BI129" s="3">
        <f t="shared" si="21"/>
        <v>28.232605581580984</v>
      </c>
      <c r="BJ129" s="3">
        <f t="shared" si="13"/>
        <v>-5.3293015678467739E-2</v>
      </c>
      <c r="BK129" s="3">
        <f t="shared" si="14"/>
        <v>-0.45609683602320777</v>
      </c>
      <c r="BL129" s="3">
        <f t="shared" si="15"/>
        <v>0.94333424358242735</v>
      </c>
      <c r="BM129" s="3">
        <f t="shared" si="16"/>
        <v>0.42700010424199508</v>
      </c>
      <c r="BN129" s="3">
        <f t="shared" si="17"/>
        <v>54.270001042419949</v>
      </c>
      <c r="BO129" s="2" t="str">
        <f t="shared" si="18"/>
        <v>C+</v>
      </c>
    </row>
    <row r="130" spans="1:67" x14ac:dyDescent="0.35">
      <c r="A130" s="15">
        <v>129</v>
      </c>
      <c r="B130" s="10" t="s">
        <v>156</v>
      </c>
      <c r="C130" s="11">
        <v>32</v>
      </c>
      <c r="D130" s="11">
        <v>1</v>
      </c>
      <c r="E130" s="11">
        <v>1</v>
      </c>
      <c r="F130" s="11">
        <v>1</v>
      </c>
      <c r="G130" s="11">
        <v>1</v>
      </c>
      <c r="H130" s="11">
        <v>1</v>
      </c>
      <c r="I130" s="11">
        <v>1</v>
      </c>
      <c r="J130" s="11">
        <v>1</v>
      </c>
      <c r="K130" s="11">
        <v>1</v>
      </c>
      <c r="L130" s="11">
        <v>1</v>
      </c>
      <c r="M130" s="11">
        <v>1</v>
      </c>
      <c r="N130" s="11">
        <v>1</v>
      </c>
      <c r="O130" s="11">
        <v>0</v>
      </c>
      <c r="P130" s="11">
        <v>0</v>
      </c>
      <c r="Q130" s="11">
        <v>1</v>
      </c>
      <c r="R130" s="11">
        <v>0</v>
      </c>
      <c r="S130" s="11">
        <v>0</v>
      </c>
      <c r="T130" s="11">
        <v>1</v>
      </c>
      <c r="U130" s="11">
        <v>1</v>
      </c>
      <c r="V130" s="11">
        <v>1</v>
      </c>
      <c r="W130" s="11">
        <v>1</v>
      </c>
      <c r="X130" s="11">
        <v>0</v>
      </c>
      <c r="Y130" s="11">
        <v>1</v>
      </c>
      <c r="Z130" s="11">
        <v>1</v>
      </c>
      <c r="AA130" s="11">
        <v>1</v>
      </c>
      <c r="AB130" s="11">
        <v>0</v>
      </c>
      <c r="AC130" s="11">
        <v>1</v>
      </c>
      <c r="AD130" s="11">
        <v>1</v>
      </c>
      <c r="AE130" s="11">
        <v>1</v>
      </c>
      <c r="AF130" s="11">
        <v>1</v>
      </c>
      <c r="AG130" s="11">
        <v>1</v>
      </c>
      <c r="AH130" s="11">
        <v>1</v>
      </c>
      <c r="AI130" s="11">
        <v>0</v>
      </c>
      <c r="AJ130" s="11">
        <v>1</v>
      </c>
      <c r="AK130" s="11">
        <v>1</v>
      </c>
      <c r="AL130" s="11">
        <v>1</v>
      </c>
      <c r="AM130" s="11">
        <v>0</v>
      </c>
      <c r="AN130" s="11">
        <v>0</v>
      </c>
      <c r="AO130" s="11">
        <v>0</v>
      </c>
      <c r="AP130" s="11">
        <v>0</v>
      </c>
      <c r="AQ130" s="11">
        <v>1</v>
      </c>
      <c r="AR130" s="11">
        <v>1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1</v>
      </c>
      <c r="BC130" s="11">
        <v>0</v>
      </c>
      <c r="BD130" s="11">
        <v>0</v>
      </c>
      <c r="BE130" s="11">
        <v>0</v>
      </c>
      <c r="BF130" s="11">
        <v>1</v>
      </c>
      <c r="BG130" s="5">
        <f t="shared" si="19"/>
        <v>103.93769588028161</v>
      </c>
      <c r="BH130" s="3">
        <f t="shared" si="20"/>
        <v>26.543455242222095</v>
      </c>
      <c r="BI130" s="3">
        <f t="shared" si="21"/>
        <v>28.456544757777905</v>
      </c>
      <c r="BJ130" s="3">
        <f t="shared" ref="BJ130:BJ193" si="22">LN(BH130/BI130)</f>
        <v>-6.9594967910505942E-2</v>
      </c>
      <c r="BK130" s="3">
        <f t="shared" si="14"/>
        <v>-0.45609683602320777</v>
      </c>
      <c r="BL130" s="3">
        <f t="shared" si="15"/>
        <v>0.94333424358242735</v>
      </c>
      <c r="BM130" s="3">
        <f t="shared" si="16"/>
        <v>0.40971889946972945</v>
      </c>
      <c r="BN130" s="3">
        <f t="shared" si="17"/>
        <v>54.097188994697291</v>
      </c>
      <c r="BO130" s="2" t="str">
        <f t="shared" si="18"/>
        <v>C+</v>
      </c>
    </row>
    <row r="131" spans="1:67" x14ac:dyDescent="0.35">
      <c r="A131" s="1">
        <v>130</v>
      </c>
      <c r="B131" s="10" t="s">
        <v>157</v>
      </c>
      <c r="C131" s="11">
        <v>30</v>
      </c>
      <c r="D131" s="11">
        <v>1</v>
      </c>
      <c r="E131" s="11">
        <v>1</v>
      </c>
      <c r="F131" s="11">
        <v>1</v>
      </c>
      <c r="G131" s="11">
        <v>1</v>
      </c>
      <c r="H131" s="11">
        <v>1</v>
      </c>
      <c r="I131" s="11">
        <v>1</v>
      </c>
      <c r="J131" s="11">
        <v>1</v>
      </c>
      <c r="K131" s="11">
        <v>1</v>
      </c>
      <c r="L131" s="11">
        <v>0</v>
      </c>
      <c r="M131" s="11">
        <v>0</v>
      </c>
      <c r="N131" s="11">
        <v>1</v>
      </c>
      <c r="O131" s="11">
        <v>1</v>
      </c>
      <c r="P131" s="11">
        <v>1</v>
      </c>
      <c r="Q131" s="11">
        <v>0</v>
      </c>
      <c r="R131" s="11">
        <v>1</v>
      </c>
      <c r="S131" s="11">
        <v>0</v>
      </c>
      <c r="T131" s="11">
        <v>1</v>
      </c>
      <c r="U131" s="11">
        <v>1</v>
      </c>
      <c r="V131" s="11">
        <v>0</v>
      </c>
      <c r="W131" s="11">
        <v>1</v>
      </c>
      <c r="X131" s="11">
        <v>1</v>
      </c>
      <c r="Y131" s="11">
        <v>1</v>
      </c>
      <c r="Z131" s="11">
        <v>0</v>
      </c>
      <c r="AA131" s="11">
        <v>1</v>
      </c>
      <c r="AB131" s="11">
        <v>0</v>
      </c>
      <c r="AC131" s="11">
        <v>1</v>
      </c>
      <c r="AD131" s="11">
        <v>1</v>
      </c>
      <c r="AE131" s="11">
        <v>1</v>
      </c>
      <c r="AF131" s="11">
        <v>1</v>
      </c>
      <c r="AG131" s="11">
        <v>0</v>
      </c>
      <c r="AH131" s="11">
        <v>1</v>
      </c>
      <c r="AI131" s="11">
        <v>0</v>
      </c>
      <c r="AJ131" s="11">
        <v>1</v>
      </c>
      <c r="AK131" s="11">
        <v>1</v>
      </c>
      <c r="AL131" s="11">
        <v>1</v>
      </c>
      <c r="AM131" s="11">
        <v>0</v>
      </c>
      <c r="AN131" s="11">
        <v>0</v>
      </c>
      <c r="AO131" s="11">
        <v>1</v>
      </c>
      <c r="AP131" s="11">
        <v>0</v>
      </c>
      <c r="AQ131" s="11">
        <v>1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1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1</v>
      </c>
      <c r="BG131" s="5">
        <f t="shared" si="19"/>
        <v>103.79545914631751</v>
      </c>
      <c r="BH131" s="3">
        <f t="shared" si="20"/>
        <v>26.507131035207493</v>
      </c>
      <c r="BI131" s="3">
        <f t="shared" si="21"/>
        <v>28.492868964792507</v>
      </c>
      <c r="BJ131" s="3">
        <f t="shared" si="22"/>
        <v>-7.2240051744114533E-2</v>
      </c>
      <c r="BK131" s="3">
        <f t="shared" ref="BK131:BK194" si="23">AVERAGE($BJ$2:$BJ$472)</f>
        <v>-0.45609683602320777</v>
      </c>
      <c r="BL131" s="3">
        <f t="shared" ref="BL131:BL194" si="24">_xlfn.STDEV.S($BJ$2:$BJ$472)</f>
        <v>0.94333424358242735</v>
      </c>
      <c r="BM131" s="3">
        <f t="shared" ref="BM131:BM194" si="25">(BJ131-BK131)/BL131</f>
        <v>0.40691492638001786</v>
      </c>
      <c r="BN131" s="3">
        <f t="shared" ref="BN131:BN194" si="26">50+10*BM131</f>
        <v>54.069149263800178</v>
      </c>
      <c r="BO131" s="2" t="str">
        <f t="shared" ref="BO131:BO194" si="27">IF(BN131&lt;45,"NC",IF(BN131&lt;50,"C",IF(BN131&lt;55,"C+",IF(BN131&lt;60,"B",IF(BN131&lt;65,"B+",IF(BN131&lt;=70,"A","A+"))))))</f>
        <v>C+</v>
      </c>
    </row>
    <row r="132" spans="1:67" x14ac:dyDescent="0.35">
      <c r="A132" s="15">
        <v>131</v>
      </c>
      <c r="B132" s="10" t="s">
        <v>158</v>
      </c>
      <c r="C132" s="11">
        <v>32</v>
      </c>
      <c r="D132" s="11">
        <v>0</v>
      </c>
      <c r="E132" s="11">
        <v>1</v>
      </c>
      <c r="F132" s="11">
        <v>1</v>
      </c>
      <c r="G132" s="11">
        <v>1</v>
      </c>
      <c r="H132" s="11">
        <v>1</v>
      </c>
      <c r="I132" s="11">
        <v>1</v>
      </c>
      <c r="J132" s="11">
        <v>1</v>
      </c>
      <c r="K132" s="11">
        <v>1</v>
      </c>
      <c r="L132" s="11">
        <v>1</v>
      </c>
      <c r="M132" s="11">
        <v>1</v>
      </c>
      <c r="N132" s="11">
        <v>0</v>
      </c>
      <c r="O132" s="11">
        <v>1</v>
      </c>
      <c r="P132" s="11">
        <v>1</v>
      </c>
      <c r="Q132" s="11">
        <v>1</v>
      </c>
      <c r="R132" s="11">
        <v>1</v>
      </c>
      <c r="S132" s="11">
        <v>1</v>
      </c>
      <c r="T132" s="11">
        <v>1</v>
      </c>
      <c r="U132" s="11">
        <v>1</v>
      </c>
      <c r="V132" s="11">
        <v>1</v>
      </c>
      <c r="W132" s="11">
        <v>0</v>
      </c>
      <c r="X132" s="11">
        <v>1</v>
      </c>
      <c r="Y132" s="11">
        <v>1</v>
      </c>
      <c r="Z132" s="11">
        <v>1</v>
      </c>
      <c r="AA132" s="11">
        <v>1</v>
      </c>
      <c r="AB132" s="11">
        <v>0</v>
      </c>
      <c r="AC132" s="11">
        <v>1</v>
      </c>
      <c r="AD132" s="11">
        <v>1</v>
      </c>
      <c r="AE132" s="11">
        <v>0</v>
      </c>
      <c r="AF132" s="11">
        <v>1</v>
      </c>
      <c r="AG132" s="11">
        <v>1</v>
      </c>
      <c r="AH132" s="11">
        <v>1</v>
      </c>
      <c r="AI132" s="11">
        <v>0</v>
      </c>
      <c r="AJ132" s="11">
        <v>0</v>
      </c>
      <c r="AK132" s="11">
        <v>0</v>
      </c>
      <c r="AL132" s="11">
        <v>1</v>
      </c>
      <c r="AM132" s="11">
        <v>0</v>
      </c>
      <c r="AN132" s="11">
        <v>0</v>
      </c>
      <c r="AO132" s="11">
        <v>0</v>
      </c>
      <c r="AP132" s="11">
        <v>0</v>
      </c>
      <c r="AQ132" s="11">
        <v>1</v>
      </c>
      <c r="AR132" s="11">
        <v>1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1</v>
      </c>
      <c r="BB132" s="11">
        <v>1</v>
      </c>
      <c r="BC132" s="11">
        <v>1</v>
      </c>
      <c r="BD132" s="11">
        <v>0</v>
      </c>
      <c r="BE132" s="11">
        <v>0</v>
      </c>
      <c r="BF132" s="11">
        <v>0</v>
      </c>
      <c r="BG132" s="5">
        <f t="shared" ref="BG132:BG195" si="28">D132*$D$477+E132*$E$477+F132*$F$477+G132*$G$477+H132*$H$477+I132*$I$477+J132*$J$477+K132*$K$477+L132*$L$477+M132*$M$477+N132*$N$477+O132*$O$477+P132*$P$477+Q132*$Q$477+R132*$R$477+S132*$S$477+T132*$T$477+U132*$U$477+V132*$V$477+W132*W$477+X132*$X$477+Y132*$Y$477+Z132*$Z$477+AA132*$AA$477+AB132*$AB$477+AC132*$AC$477+AD132*$AD$477+AE132*$AE$477+AF132*$AF$477+AG132*$AG$477+AH132*$AH$477+AI132*$AI$477+AJ132*$AJ$477+AK132*$AK$477+AL132*$AL$477+AM132*$AM$477+AN132*$AN$477+AO132*$AO$477+AP132*$AP$477+AQ132*$AQ$477+AR132*$AR$477+AS132*$AS$477+AT132*$AT$477+AU132*$AU$477+AV132*$AV$477+AW132*$AW$477+AX132*$AX$477+AY132*$AY$477+AZ132*$AZ$477+BA132*$BA$477+BB132*$BB$477+BC132*$BC$477+BD132*$BD$477+BE132*$BE$477+BF132*$BF$477</f>
        <v>103.57343874231087</v>
      </c>
      <c r="BH132" s="3">
        <f t="shared" ref="BH132:BH195" si="29">BG132*55/$BG$2</f>
        <v>26.450431792389971</v>
      </c>
      <c r="BI132" s="3">
        <f t="shared" ref="BI132:BI195" si="30">55-BH132</f>
        <v>28.549568207610029</v>
      </c>
      <c r="BJ132" s="3">
        <f t="shared" si="22"/>
        <v>-7.6369328885820167E-2</v>
      </c>
      <c r="BK132" s="3">
        <f t="shared" si="23"/>
        <v>-0.45609683602320777</v>
      </c>
      <c r="BL132" s="3">
        <f t="shared" si="24"/>
        <v>0.94333424358242735</v>
      </c>
      <c r="BM132" s="3">
        <f t="shared" si="25"/>
        <v>0.40253760501190533</v>
      </c>
      <c r="BN132" s="3">
        <f t="shared" si="26"/>
        <v>54.02537605011905</v>
      </c>
      <c r="BO132" s="2" t="str">
        <f t="shared" si="27"/>
        <v>C+</v>
      </c>
    </row>
    <row r="133" spans="1:67" x14ac:dyDescent="0.35">
      <c r="A133" s="15">
        <v>132</v>
      </c>
      <c r="B133" s="12">
        <v>2404983</v>
      </c>
      <c r="C133" s="11">
        <v>32</v>
      </c>
      <c r="D133" s="11">
        <v>1</v>
      </c>
      <c r="E133" s="11">
        <v>1</v>
      </c>
      <c r="F133" s="11">
        <v>1</v>
      </c>
      <c r="G133" s="11">
        <v>1</v>
      </c>
      <c r="H133" s="11">
        <v>1</v>
      </c>
      <c r="I133" s="11">
        <v>0</v>
      </c>
      <c r="J133" s="11">
        <v>1</v>
      </c>
      <c r="K133" s="11">
        <v>1</v>
      </c>
      <c r="L133" s="11">
        <v>1</v>
      </c>
      <c r="M133" s="11">
        <v>1</v>
      </c>
      <c r="N133" s="11">
        <v>0</v>
      </c>
      <c r="O133" s="11">
        <v>1</v>
      </c>
      <c r="P133" s="11">
        <v>1</v>
      </c>
      <c r="Q133" s="11">
        <v>1</v>
      </c>
      <c r="R133" s="11">
        <v>0</v>
      </c>
      <c r="S133" s="11">
        <v>1</v>
      </c>
      <c r="T133" s="11">
        <v>1</v>
      </c>
      <c r="U133" s="11">
        <v>1</v>
      </c>
      <c r="V133" s="11">
        <v>1</v>
      </c>
      <c r="W133" s="11">
        <v>1</v>
      </c>
      <c r="X133" s="11">
        <v>1</v>
      </c>
      <c r="Y133" s="11">
        <v>0</v>
      </c>
      <c r="Z133" s="11">
        <v>0</v>
      </c>
      <c r="AA133" s="11">
        <v>0</v>
      </c>
      <c r="AB133" s="11">
        <v>0</v>
      </c>
      <c r="AC133" s="11">
        <v>1</v>
      </c>
      <c r="AD133" s="11">
        <v>0</v>
      </c>
      <c r="AE133" s="11">
        <v>1</v>
      </c>
      <c r="AF133" s="11">
        <v>1</v>
      </c>
      <c r="AG133" s="11">
        <v>1</v>
      </c>
      <c r="AH133" s="11">
        <v>1</v>
      </c>
      <c r="AI133" s="11">
        <v>0</v>
      </c>
      <c r="AJ133" s="11">
        <v>1</v>
      </c>
      <c r="AK133" s="11">
        <v>1</v>
      </c>
      <c r="AL133" s="11">
        <v>0</v>
      </c>
      <c r="AM133" s="11">
        <v>1</v>
      </c>
      <c r="AN133" s="11">
        <v>0</v>
      </c>
      <c r="AO133" s="11">
        <v>0</v>
      </c>
      <c r="AP133" s="11">
        <v>0</v>
      </c>
      <c r="AQ133" s="11">
        <v>1</v>
      </c>
      <c r="AR133" s="11">
        <v>1</v>
      </c>
      <c r="AS133" s="11">
        <v>1</v>
      </c>
      <c r="AT133" s="11">
        <v>1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1</v>
      </c>
      <c r="BB133" s="11">
        <v>1</v>
      </c>
      <c r="BC133" s="11">
        <v>0</v>
      </c>
      <c r="BD133" s="11">
        <v>0</v>
      </c>
      <c r="BE133" s="11">
        <v>0</v>
      </c>
      <c r="BF133" s="11">
        <v>0</v>
      </c>
      <c r="BG133" s="5">
        <f t="shared" si="28"/>
        <v>103.28678327284257</v>
      </c>
      <c r="BH133" s="3">
        <f t="shared" si="29"/>
        <v>26.377226142030601</v>
      </c>
      <c r="BI133" s="3">
        <f t="shared" si="30"/>
        <v>28.622773857969399</v>
      </c>
      <c r="BJ133" s="3">
        <f t="shared" si="22"/>
        <v>-8.1701697972550488E-2</v>
      </c>
      <c r="BK133" s="3">
        <f t="shared" si="23"/>
        <v>-0.45609683602320777</v>
      </c>
      <c r="BL133" s="3">
        <f t="shared" si="24"/>
        <v>0.94333424358242735</v>
      </c>
      <c r="BM133" s="3">
        <f t="shared" si="25"/>
        <v>0.39688492238853312</v>
      </c>
      <c r="BN133" s="3">
        <f t="shared" si="26"/>
        <v>53.968849223885329</v>
      </c>
      <c r="BO133" s="2" t="str">
        <f t="shared" si="27"/>
        <v>C+</v>
      </c>
    </row>
    <row r="134" spans="1:67" x14ac:dyDescent="0.35">
      <c r="A134" s="1">
        <v>133</v>
      </c>
      <c r="B134" s="10" t="s">
        <v>159</v>
      </c>
      <c r="C134" s="11">
        <v>33</v>
      </c>
      <c r="D134" s="11">
        <v>1</v>
      </c>
      <c r="E134" s="11">
        <v>1</v>
      </c>
      <c r="F134" s="11">
        <v>1</v>
      </c>
      <c r="G134" s="11">
        <v>1</v>
      </c>
      <c r="H134" s="11">
        <v>1</v>
      </c>
      <c r="I134" s="11">
        <v>1</v>
      </c>
      <c r="J134" s="11">
        <v>1</v>
      </c>
      <c r="K134" s="11">
        <v>1</v>
      </c>
      <c r="L134" s="11">
        <v>1</v>
      </c>
      <c r="M134" s="11">
        <v>1</v>
      </c>
      <c r="N134" s="11">
        <v>1</v>
      </c>
      <c r="O134" s="11">
        <v>1</v>
      </c>
      <c r="P134" s="11">
        <v>1</v>
      </c>
      <c r="Q134" s="11">
        <v>1</v>
      </c>
      <c r="R134" s="11">
        <v>0</v>
      </c>
      <c r="S134" s="11">
        <v>1</v>
      </c>
      <c r="T134" s="11">
        <v>1</v>
      </c>
      <c r="U134" s="11">
        <v>1</v>
      </c>
      <c r="V134" s="11">
        <v>1</v>
      </c>
      <c r="W134" s="11">
        <v>0</v>
      </c>
      <c r="X134" s="11">
        <v>1</v>
      </c>
      <c r="Y134" s="11">
        <v>1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1">
        <v>1</v>
      </c>
      <c r="AG134" s="11">
        <v>1</v>
      </c>
      <c r="AH134" s="11">
        <v>1</v>
      </c>
      <c r="AI134" s="11">
        <v>0</v>
      </c>
      <c r="AJ134" s="11">
        <v>1</v>
      </c>
      <c r="AK134" s="11">
        <v>1</v>
      </c>
      <c r="AL134" s="11">
        <v>1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1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5">
        <f t="shared" si="28"/>
        <v>102.71080571274422</v>
      </c>
      <c r="BH134" s="3">
        <f t="shared" si="29"/>
        <v>26.230133843538585</v>
      </c>
      <c r="BI134" s="3">
        <f t="shared" si="30"/>
        <v>28.769866156461415</v>
      </c>
      <c r="BJ134" s="3">
        <f t="shared" si="22"/>
        <v>-9.241962880651608E-2</v>
      </c>
      <c r="BK134" s="3">
        <f t="shared" si="23"/>
        <v>-0.45609683602320777</v>
      </c>
      <c r="BL134" s="3">
        <f t="shared" si="24"/>
        <v>0.94333424358242735</v>
      </c>
      <c r="BM134" s="3">
        <f t="shared" si="25"/>
        <v>0.38552316921686525</v>
      </c>
      <c r="BN134" s="3">
        <f t="shared" si="26"/>
        <v>53.855231692168651</v>
      </c>
      <c r="BO134" s="2" t="str">
        <f t="shared" si="27"/>
        <v>C+</v>
      </c>
    </row>
    <row r="135" spans="1:67" x14ac:dyDescent="0.35">
      <c r="A135" s="15">
        <v>134</v>
      </c>
      <c r="B135" s="12">
        <v>1104777</v>
      </c>
      <c r="C135" s="11">
        <v>32</v>
      </c>
      <c r="D135" s="11">
        <v>0</v>
      </c>
      <c r="E135" s="11">
        <v>1</v>
      </c>
      <c r="F135" s="11">
        <v>1</v>
      </c>
      <c r="G135" s="11">
        <v>1</v>
      </c>
      <c r="H135" s="11">
        <v>1</v>
      </c>
      <c r="I135" s="11">
        <v>1</v>
      </c>
      <c r="J135" s="11">
        <v>1</v>
      </c>
      <c r="K135" s="11">
        <v>1</v>
      </c>
      <c r="L135" s="11">
        <v>1</v>
      </c>
      <c r="M135" s="11">
        <v>1</v>
      </c>
      <c r="N135" s="11">
        <v>0</v>
      </c>
      <c r="O135" s="11">
        <v>1</v>
      </c>
      <c r="P135" s="11">
        <v>1</v>
      </c>
      <c r="Q135" s="11">
        <v>1</v>
      </c>
      <c r="R135" s="11">
        <v>1</v>
      </c>
      <c r="S135" s="11">
        <v>1</v>
      </c>
      <c r="T135" s="11">
        <v>1</v>
      </c>
      <c r="U135" s="11">
        <v>1</v>
      </c>
      <c r="V135" s="11">
        <v>1</v>
      </c>
      <c r="W135" s="11">
        <v>1</v>
      </c>
      <c r="X135" s="11">
        <v>0</v>
      </c>
      <c r="Y135" s="11">
        <v>0</v>
      </c>
      <c r="Z135" s="11">
        <v>1</v>
      </c>
      <c r="AA135" s="11">
        <v>0</v>
      </c>
      <c r="AB135" s="11">
        <v>0</v>
      </c>
      <c r="AC135" s="11">
        <v>1</v>
      </c>
      <c r="AD135" s="11">
        <v>1</v>
      </c>
      <c r="AE135" s="11">
        <v>0</v>
      </c>
      <c r="AF135" s="11">
        <v>1</v>
      </c>
      <c r="AG135" s="11">
        <v>1</v>
      </c>
      <c r="AH135" s="11">
        <v>1</v>
      </c>
      <c r="AI135" s="11">
        <v>1</v>
      </c>
      <c r="AJ135" s="11">
        <v>1</v>
      </c>
      <c r="AK135" s="11">
        <v>1</v>
      </c>
      <c r="AL135" s="11">
        <v>1</v>
      </c>
      <c r="AM135" s="11">
        <v>1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1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1</v>
      </c>
      <c r="BB135" s="11">
        <v>1</v>
      </c>
      <c r="BC135" s="11">
        <v>0</v>
      </c>
      <c r="BD135" s="11">
        <v>0</v>
      </c>
      <c r="BE135" s="11">
        <v>0</v>
      </c>
      <c r="BF135" s="11">
        <v>0</v>
      </c>
      <c r="BG135" s="5">
        <f t="shared" si="28"/>
        <v>101.8908134997628</v>
      </c>
      <c r="BH135" s="3">
        <f t="shared" si="29"/>
        <v>26.020725443439812</v>
      </c>
      <c r="BI135" s="3">
        <f t="shared" si="30"/>
        <v>28.979274556560188</v>
      </c>
      <c r="BJ135" s="3">
        <f t="shared" si="22"/>
        <v>-0.10768755110420923</v>
      </c>
      <c r="BK135" s="3">
        <f t="shared" si="23"/>
        <v>-0.45609683602320777</v>
      </c>
      <c r="BL135" s="3">
        <f t="shared" si="24"/>
        <v>0.94333424358242735</v>
      </c>
      <c r="BM135" s="3">
        <f t="shared" si="25"/>
        <v>0.36933810819362561</v>
      </c>
      <c r="BN135" s="3">
        <f t="shared" si="26"/>
        <v>53.693381081936259</v>
      </c>
      <c r="BO135" s="2" t="str">
        <f t="shared" si="27"/>
        <v>C+</v>
      </c>
    </row>
    <row r="136" spans="1:67" x14ac:dyDescent="0.35">
      <c r="A136" s="15">
        <v>135</v>
      </c>
      <c r="B136" s="10" t="s">
        <v>160</v>
      </c>
      <c r="C136" s="11">
        <v>32</v>
      </c>
      <c r="D136" s="11">
        <v>1</v>
      </c>
      <c r="E136" s="11">
        <v>1</v>
      </c>
      <c r="F136" s="11">
        <v>1</v>
      </c>
      <c r="G136" s="11">
        <v>1</v>
      </c>
      <c r="H136" s="11">
        <v>1</v>
      </c>
      <c r="I136" s="11">
        <v>1</v>
      </c>
      <c r="J136" s="11">
        <v>1</v>
      </c>
      <c r="K136" s="11">
        <v>1</v>
      </c>
      <c r="L136" s="11">
        <v>1</v>
      </c>
      <c r="M136" s="11">
        <v>1</v>
      </c>
      <c r="N136" s="11">
        <v>1</v>
      </c>
      <c r="O136" s="11">
        <v>1</v>
      </c>
      <c r="P136" s="11">
        <v>1</v>
      </c>
      <c r="Q136" s="11">
        <v>1</v>
      </c>
      <c r="R136" s="11">
        <v>1</v>
      </c>
      <c r="S136" s="11">
        <v>1</v>
      </c>
      <c r="T136" s="11">
        <v>1</v>
      </c>
      <c r="U136" s="11">
        <v>1</v>
      </c>
      <c r="V136" s="11">
        <v>1</v>
      </c>
      <c r="W136" s="11">
        <v>1</v>
      </c>
      <c r="X136" s="11">
        <v>1</v>
      </c>
      <c r="Y136" s="11">
        <v>1</v>
      </c>
      <c r="Z136" s="11">
        <v>0</v>
      </c>
      <c r="AA136" s="11">
        <v>1</v>
      </c>
      <c r="AB136" s="11">
        <v>1</v>
      </c>
      <c r="AC136" s="11">
        <v>1</v>
      </c>
      <c r="AD136" s="11">
        <v>1</v>
      </c>
      <c r="AE136" s="11">
        <v>0</v>
      </c>
      <c r="AF136" s="11">
        <v>1</v>
      </c>
      <c r="AG136" s="11">
        <v>1</v>
      </c>
      <c r="AH136" s="11">
        <v>0</v>
      </c>
      <c r="AI136" s="11">
        <v>1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1</v>
      </c>
      <c r="AS136" s="11">
        <v>1</v>
      </c>
      <c r="AT136" s="11">
        <v>1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5">
        <f t="shared" si="28"/>
        <v>101.64286707843328</v>
      </c>
      <c r="BH136" s="3">
        <f t="shared" si="29"/>
        <v>25.957405252615011</v>
      </c>
      <c r="BI136" s="3">
        <f t="shared" si="30"/>
        <v>29.042594747384989</v>
      </c>
      <c r="BJ136" s="3">
        <f t="shared" si="22"/>
        <v>-0.11230660167820383</v>
      </c>
      <c r="BK136" s="3">
        <f t="shared" si="23"/>
        <v>-0.45609683602320777</v>
      </c>
      <c r="BL136" s="3">
        <f t="shared" si="24"/>
        <v>0.94333424358242735</v>
      </c>
      <c r="BM136" s="3">
        <f t="shared" si="25"/>
        <v>0.36444159287530836</v>
      </c>
      <c r="BN136" s="3">
        <f t="shared" si="26"/>
        <v>53.644415928753084</v>
      </c>
      <c r="BO136" s="2" t="str">
        <f t="shared" si="27"/>
        <v>C+</v>
      </c>
    </row>
    <row r="137" spans="1:67" x14ac:dyDescent="0.35">
      <c r="A137" s="1">
        <v>136</v>
      </c>
      <c r="B137" s="10" t="s">
        <v>161</v>
      </c>
      <c r="C137" s="11">
        <v>31</v>
      </c>
      <c r="D137" s="11">
        <v>1</v>
      </c>
      <c r="E137" s="11">
        <v>1</v>
      </c>
      <c r="F137" s="11">
        <v>1</v>
      </c>
      <c r="G137" s="11">
        <v>1</v>
      </c>
      <c r="H137" s="11">
        <v>1</v>
      </c>
      <c r="I137" s="11">
        <v>1</v>
      </c>
      <c r="J137" s="11">
        <v>1</v>
      </c>
      <c r="K137" s="11">
        <v>1</v>
      </c>
      <c r="L137" s="11">
        <v>1</v>
      </c>
      <c r="M137" s="11">
        <v>1</v>
      </c>
      <c r="N137" s="11">
        <v>0</v>
      </c>
      <c r="O137" s="11">
        <v>1</v>
      </c>
      <c r="P137" s="11">
        <v>0</v>
      </c>
      <c r="Q137" s="11">
        <v>1</v>
      </c>
      <c r="R137" s="11">
        <v>1</v>
      </c>
      <c r="S137" s="11">
        <v>1</v>
      </c>
      <c r="T137" s="11">
        <v>0</v>
      </c>
      <c r="U137" s="11">
        <v>0</v>
      </c>
      <c r="V137" s="11">
        <v>1</v>
      </c>
      <c r="W137" s="11">
        <v>0</v>
      </c>
      <c r="X137" s="11">
        <v>1</v>
      </c>
      <c r="Y137" s="11">
        <v>1</v>
      </c>
      <c r="Z137" s="11">
        <v>1</v>
      </c>
      <c r="AA137" s="11">
        <v>1</v>
      </c>
      <c r="AB137" s="11">
        <v>0</v>
      </c>
      <c r="AC137" s="11">
        <v>1</v>
      </c>
      <c r="AD137" s="11">
        <v>0</v>
      </c>
      <c r="AE137" s="11">
        <v>1</v>
      </c>
      <c r="AF137" s="11">
        <v>0</v>
      </c>
      <c r="AG137" s="11">
        <v>1</v>
      </c>
      <c r="AH137" s="11">
        <v>0</v>
      </c>
      <c r="AI137" s="11">
        <v>0</v>
      </c>
      <c r="AJ137" s="11">
        <v>1</v>
      </c>
      <c r="AK137" s="11">
        <v>1</v>
      </c>
      <c r="AL137" s="11">
        <v>1</v>
      </c>
      <c r="AM137" s="11">
        <v>0</v>
      </c>
      <c r="AN137" s="11">
        <v>0</v>
      </c>
      <c r="AO137" s="11">
        <v>0</v>
      </c>
      <c r="AP137" s="11">
        <v>0</v>
      </c>
      <c r="AQ137" s="11">
        <v>1</v>
      </c>
      <c r="AR137" s="11">
        <v>0</v>
      </c>
      <c r="AS137" s="11">
        <v>1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1</v>
      </c>
      <c r="BB137" s="11">
        <v>1</v>
      </c>
      <c r="BC137" s="11">
        <v>1</v>
      </c>
      <c r="BD137" s="11">
        <v>1</v>
      </c>
      <c r="BE137" s="11">
        <v>0</v>
      </c>
      <c r="BF137" s="11">
        <v>0</v>
      </c>
      <c r="BG137" s="5">
        <f t="shared" si="28"/>
        <v>101.17503782496178</v>
      </c>
      <c r="BH137" s="3">
        <f t="shared" si="29"/>
        <v>25.837931708917964</v>
      </c>
      <c r="BI137" s="3">
        <f t="shared" si="30"/>
        <v>29.162068291082036</v>
      </c>
      <c r="BJ137" s="3">
        <f t="shared" si="22"/>
        <v>-0.1210252001882496</v>
      </c>
      <c r="BK137" s="3">
        <f t="shared" si="23"/>
        <v>-0.45609683602320777</v>
      </c>
      <c r="BL137" s="3">
        <f t="shared" si="24"/>
        <v>0.94333424358242735</v>
      </c>
      <c r="BM137" s="3">
        <f t="shared" si="25"/>
        <v>0.35519927121746647</v>
      </c>
      <c r="BN137" s="3">
        <f t="shared" si="26"/>
        <v>53.551992712174666</v>
      </c>
      <c r="BO137" s="2" t="str">
        <f t="shared" si="27"/>
        <v>C+</v>
      </c>
    </row>
    <row r="138" spans="1:67" x14ac:dyDescent="0.35">
      <c r="A138" s="15">
        <v>137</v>
      </c>
      <c r="B138" s="12">
        <v>2007109</v>
      </c>
      <c r="C138" s="11">
        <v>32</v>
      </c>
      <c r="D138" s="11">
        <v>1</v>
      </c>
      <c r="E138" s="11">
        <v>1</v>
      </c>
      <c r="F138" s="11">
        <v>1</v>
      </c>
      <c r="G138" s="11">
        <v>1</v>
      </c>
      <c r="H138" s="11">
        <v>1</v>
      </c>
      <c r="I138" s="11">
        <v>0</v>
      </c>
      <c r="J138" s="11">
        <v>1</v>
      </c>
      <c r="K138" s="11">
        <v>1</v>
      </c>
      <c r="L138" s="11">
        <v>1</v>
      </c>
      <c r="M138" s="11">
        <v>1</v>
      </c>
      <c r="N138" s="11">
        <v>1</v>
      </c>
      <c r="O138" s="11">
        <v>1</v>
      </c>
      <c r="P138" s="11">
        <v>1</v>
      </c>
      <c r="Q138" s="11">
        <v>1</v>
      </c>
      <c r="R138" s="11">
        <v>0</v>
      </c>
      <c r="S138" s="11">
        <v>1</v>
      </c>
      <c r="T138" s="11">
        <v>1</v>
      </c>
      <c r="U138" s="11">
        <v>1</v>
      </c>
      <c r="V138" s="11">
        <v>0</v>
      </c>
      <c r="W138" s="11">
        <v>1</v>
      </c>
      <c r="X138" s="11">
        <v>0</v>
      </c>
      <c r="Y138" s="11">
        <v>1</v>
      </c>
      <c r="Z138" s="11">
        <v>1</v>
      </c>
      <c r="AA138" s="11">
        <v>1</v>
      </c>
      <c r="AB138" s="11">
        <v>0</v>
      </c>
      <c r="AC138" s="11">
        <v>1</v>
      </c>
      <c r="AD138" s="11">
        <v>1</v>
      </c>
      <c r="AE138" s="11">
        <v>1</v>
      </c>
      <c r="AF138" s="11">
        <v>1</v>
      </c>
      <c r="AG138" s="11">
        <v>1</v>
      </c>
      <c r="AH138" s="11">
        <v>0</v>
      </c>
      <c r="AI138" s="11">
        <v>1</v>
      </c>
      <c r="AJ138" s="11">
        <v>1</v>
      </c>
      <c r="AK138" s="11">
        <v>1</v>
      </c>
      <c r="AL138" s="11">
        <v>1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1</v>
      </c>
      <c r="AS138" s="11">
        <v>1</v>
      </c>
      <c r="AT138" s="11">
        <v>1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5">
        <f t="shared" si="28"/>
        <v>101.16423856095088</v>
      </c>
      <c r="BH138" s="3">
        <f t="shared" si="29"/>
        <v>25.835173808827008</v>
      </c>
      <c r="BI138" s="3">
        <f t="shared" si="30"/>
        <v>29.164826191172992</v>
      </c>
      <c r="BJ138" s="3">
        <f t="shared" si="22"/>
        <v>-0.12122651132141536</v>
      </c>
      <c r="BK138" s="3">
        <f t="shared" si="23"/>
        <v>-0.45609683602320777</v>
      </c>
      <c r="BL138" s="3">
        <f t="shared" si="24"/>
        <v>0.94333424358242735</v>
      </c>
      <c r="BM138" s="3">
        <f t="shared" si="25"/>
        <v>0.35498586739529492</v>
      </c>
      <c r="BN138" s="3">
        <f t="shared" si="26"/>
        <v>53.549858673952947</v>
      </c>
      <c r="BO138" s="2" t="str">
        <f t="shared" si="27"/>
        <v>C+</v>
      </c>
    </row>
    <row r="139" spans="1:67" x14ac:dyDescent="0.35">
      <c r="A139" s="15">
        <v>138</v>
      </c>
      <c r="B139" s="12">
        <v>1133000</v>
      </c>
      <c r="C139" s="11">
        <v>30</v>
      </c>
      <c r="D139" s="11">
        <v>1</v>
      </c>
      <c r="E139" s="11">
        <v>1</v>
      </c>
      <c r="F139" s="11">
        <v>1</v>
      </c>
      <c r="G139" s="11">
        <v>1</v>
      </c>
      <c r="H139" s="11">
        <v>1</v>
      </c>
      <c r="I139" s="11">
        <v>1</v>
      </c>
      <c r="J139" s="11">
        <v>1</v>
      </c>
      <c r="K139" s="11">
        <v>1</v>
      </c>
      <c r="L139" s="11">
        <v>0</v>
      </c>
      <c r="M139" s="11">
        <v>0</v>
      </c>
      <c r="N139" s="11">
        <v>1</v>
      </c>
      <c r="O139" s="11">
        <v>1</v>
      </c>
      <c r="P139" s="11">
        <v>0</v>
      </c>
      <c r="Q139" s="11">
        <v>1</v>
      </c>
      <c r="R139" s="11">
        <v>1</v>
      </c>
      <c r="S139" s="11">
        <v>0</v>
      </c>
      <c r="T139" s="11">
        <v>1</v>
      </c>
      <c r="U139" s="11">
        <v>1</v>
      </c>
      <c r="V139" s="11">
        <v>1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1</v>
      </c>
      <c r="AD139" s="11">
        <v>1</v>
      </c>
      <c r="AE139" s="11">
        <v>0</v>
      </c>
      <c r="AF139" s="11">
        <v>1</v>
      </c>
      <c r="AG139" s="11">
        <v>1</v>
      </c>
      <c r="AH139" s="11">
        <v>1</v>
      </c>
      <c r="AI139" s="11">
        <v>0</v>
      </c>
      <c r="AJ139" s="11">
        <v>1</v>
      </c>
      <c r="AK139" s="11">
        <v>1</v>
      </c>
      <c r="AL139" s="11">
        <v>1</v>
      </c>
      <c r="AM139" s="11">
        <v>0</v>
      </c>
      <c r="AN139" s="11">
        <v>0</v>
      </c>
      <c r="AO139" s="11">
        <v>0</v>
      </c>
      <c r="AP139" s="11">
        <v>0</v>
      </c>
      <c r="AQ139" s="11">
        <v>1</v>
      </c>
      <c r="AR139" s="11">
        <v>1</v>
      </c>
      <c r="AS139" s="11">
        <v>0</v>
      </c>
      <c r="AT139" s="11">
        <v>0</v>
      </c>
      <c r="AU139" s="11">
        <v>0</v>
      </c>
      <c r="AV139" s="11">
        <v>0</v>
      </c>
      <c r="AW139" s="11">
        <v>1</v>
      </c>
      <c r="AX139" s="11">
        <v>0</v>
      </c>
      <c r="AY139" s="11">
        <v>0</v>
      </c>
      <c r="AZ139" s="11">
        <v>0</v>
      </c>
      <c r="BA139" s="11">
        <v>1</v>
      </c>
      <c r="BB139" s="11">
        <v>1</v>
      </c>
      <c r="BC139" s="11">
        <v>1</v>
      </c>
      <c r="BD139" s="11">
        <v>1</v>
      </c>
      <c r="BE139" s="11">
        <v>0</v>
      </c>
      <c r="BF139" s="11">
        <v>0</v>
      </c>
      <c r="BG139" s="5">
        <f t="shared" si="28"/>
        <v>100.51311991992652</v>
      </c>
      <c r="BH139" s="3">
        <f t="shared" si="29"/>
        <v>25.668892092082842</v>
      </c>
      <c r="BI139" s="3">
        <f t="shared" si="30"/>
        <v>29.331107907917158</v>
      </c>
      <c r="BJ139" s="3">
        <f t="shared" si="22"/>
        <v>-0.13336882184324872</v>
      </c>
      <c r="BK139" s="3">
        <f t="shared" si="23"/>
        <v>-0.45609683602320777</v>
      </c>
      <c r="BL139" s="3">
        <f t="shared" si="24"/>
        <v>0.94333424358242735</v>
      </c>
      <c r="BM139" s="3">
        <f t="shared" si="25"/>
        <v>0.34211417254859727</v>
      </c>
      <c r="BN139" s="3">
        <f t="shared" si="26"/>
        <v>53.421141725485974</v>
      </c>
      <c r="BO139" s="2" t="str">
        <f t="shared" si="27"/>
        <v>C+</v>
      </c>
    </row>
    <row r="140" spans="1:67" x14ac:dyDescent="0.35">
      <c r="A140" s="1">
        <v>139</v>
      </c>
      <c r="B140" s="10" t="s">
        <v>162</v>
      </c>
      <c r="C140" s="11">
        <v>31</v>
      </c>
      <c r="D140" s="11">
        <v>1</v>
      </c>
      <c r="E140" s="11">
        <v>1</v>
      </c>
      <c r="F140" s="11">
        <v>1</v>
      </c>
      <c r="G140" s="11">
        <v>1</v>
      </c>
      <c r="H140" s="11">
        <v>1</v>
      </c>
      <c r="I140" s="11">
        <v>1</v>
      </c>
      <c r="J140" s="11">
        <v>1</v>
      </c>
      <c r="K140" s="11">
        <v>1</v>
      </c>
      <c r="L140" s="11">
        <v>1</v>
      </c>
      <c r="M140" s="11">
        <v>1</v>
      </c>
      <c r="N140" s="11">
        <v>1</v>
      </c>
      <c r="O140" s="11">
        <v>1</v>
      </c>
      <c r="P140" s="11">
        <v>1</v>
      </c>
      <c r="Q140" s="11">
        <v>1</v>
      </c>
      <c r="R140" s="11">
        <v>1</v>
      </c>
      <c r="S140" s="11">
        <v>1</v>
      </c>
      <c r="T140" s="11">
        <v>1</v>
      </c>
      <c r="U140" s="11">
        <v>1</v>
      </c>
      <c r="V140" s="11">
        <v>1</v>
      </c>
      <c r="W140" s="11">
        <v>1</v>
      </c>
      <c r="X140" s="11">
        <v>1</v>
      </c>
      <c r="Y140" s="11">
        <v>0</v>
      </c>
      <c r="Z140" s="11">
        <v>1</v>
      </c>
      <c r="AA140" s="11">
        <v>0</v>
      </c>
      <c r="AB140" s="11">
        <v>0</v>
      </c>
      <c r="AC140" s="11">
        <v>1</v>
      </c>
      <c r="AD140" s="11">
        <v>0</v>
      </c>
      <c r="AE140" s="11">
        <v>1</v>
      </c>
      <c r="AF140" s="11">
        <v>0</v>
      </c>
      <c r="AG140" s="11">
        <v>0</v>
      </c>
      <c r="AH140" s="11">
        <v>1</v>
      </c>
      <c r="AI140" s="11">
        <v>0</v>
      </c>
      <c r="AJ140" s="11">
        <v>0</v>
      </c>
      <c r="AK140" s="11">
        <v>1</v>
      </c>
      <c r="AL140" s="11">
        <v>0</v>
      </c>
      <c r="AM140" s="11">
        <v>1</v>
      </c>
      <c r="AN140" s="11">
        <v>1</v>
      </c>
      <c r="AO140" s="11">
        <v>1</v>
      </c>
      <c r="AP140" s="11">
        <v>1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1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5">
        <f t="shared" si="28"/>
        <v>100.46493462025397</v>
      </c>
      <c r="BH140" s="3">
        <f t="shared" si="29"/>
        <v>25.656586601429431</v>
      </c>
      <c r="BI140" s="3">
        <f t="shared" si="30"/>
        <v>29.343413398570569</v>
      </c>
      <c r="BJ140" s="3">
        <f t="shared" si="22"/>
        <v>-0.1342677791349276</v>
      </c>
      <c r="BK140" s="3">
        <f t="shared" si="23"/>
        <v>-0.45609683602320777</v>
      </c>
      <c r="BL140" s="3">
        <f t="shared" si="24"/>
        <v>0.94333424358242735</v>
      </c>
      <c r="BM140" s="3">
        <f t="shared" si="25"/>
        <v>0.34116121520840259</v>
      </c>
      <c r="BN140" s="3">
        <f t="shared" si="26"/>
        <v>53.411612152084025</v>
      </c>
      <c r="BO140" s="2" t="str">
        <f t="shared" si="27"/>
        <v>C+</v>
      </c>
    </row>
    <row r="141" spans="1:67" x14ac:dyDescent="0.35">
      <c r="A141" s="15">
        <v>140</v>
      </c>
      <c r="B141" s="12">
        <v>7777770</v>
      </c>
      <c r="C141" s="11">
        <v>32</v>
      </c>
      <c r="D141" s="11">
        <v>0</v>
      </c>
      <c r="E141" s="11">
        <v>1</v>
      </c>
      <c r="F141" s="11">
        <v>1</v>
      </c>
      <c r="G141" s="11">
        <v>1</v>
      </c>
      <c r="H141" s="11">
        <v>1</v>
      </c>
      <c r="I141" s="11">
        <v>1</v>
      </c>
      <c r="J141" s="11">
        <v>1</v>
      </c>
      <c r="K141" s="11">
        <v>1</v>
      </c>
      <c r="L141" s="11">
        <v>1</v>
      </c>
      <c r="M141" s="11">
        <v>1</v>
      </c>
      <c r="N141" s="11">
        <v>1</v>
      </c>
      <c r="O141" s="11">
        <v>1</v>
      </c>
      <c r="P141" s="11">
        <v>1</v>
      </c>
      <c r="Q141" s="11">
        <v>1</v>
      </c>
      <c r="R141" s="11">
        <v>0</v>
      </c>
      <c r="S141" s="11">
        <v>1</v>
      </c>
      <c r="T141" s="11">
        <v>1</v>
      </c>
      <c r="U141" s="11">
        <v>1</v>
      </c>
      <c r="V141" s="11">
        <v>1</v>
      </c>
      <c r="W141" s="11">
        <v>1</v>
      </c>
      <c r="X141" s="11">
        <v>1</v>
      </c>
      <c r="Y141" s="11">
        <v>1</v>
      </c>
      <c r="Z141" s="11">
        <v>1</v>
      </c>
      <c r="AA141" s="11">
        <v>0</v>
      </c>
      <c r="AB141" s="11">
        <v>0</v>
      </c>
      <c r="AC141" s="11">
        <v>1</v>
      </c>
      <c r="AD141" s="11">
        <v>1</v>
      </c>
      <c r="AE141" s="11">
        <v>1</v>
      </c>
      <c r="AF141" s="11">
        <v>1</v>
      </c>
      <c r="AG141" s="11">
        <v>1</v>
      </c>
      <c r="AH141" s="11">
        <v>1</v>
      </c>
      <c r="AI141" s="11">
        <v>0</v>
      </c>
      <c r="AJ141" s="11">
        <v>1</v>
      </c>
      <c r="AK141" s="11">
        <v>1</v>
      </c>
      <c r="AL141" s="11">
        <v>1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1</v>
      </c>
      <c r="BD141" s="11">
        <v>1</v>
      </c>
      <c r="BE141" s="11">
        <v>0</v>
      </c>
      <c r="BF141" s="11">
        <v>0</v>
      </c>
      <c r="BG141" s="5">
        <f t="shared" si="28"/>
        <v>99.913047298678606</v>
      </c>
      <c r="BH141" s="3">
        <f t="shared" si="29"/>
        <v>25.515646432466493</v>
      </c>
      <c r="BI141" s="3">
        <f t="shared" si="30"/>
        <v>29.484353567533507</v>
      </c>
      <c r="BJ141" s="3">
        <f t="shared" si="22"/>
        <v>-0.1445678855146782</v>
      </c>
      <c r="BK141" s="3">
        <f t="shared" si="23"/>
        <v>-0.45609683602320777</v>
      </c>
      <c r="BL141" s="3">
        <f t="shared" si="24"/>
        <v>0.94333424358242735</v>
      </c>
      <c r="BM141" s="3">
        <f t="shared" si="25"/>
        <v>0.33024238505904357</v>
      </c>
      <c r="BN141" s="3">
        <f t="shared" si="26"/>
        <v>53.302423850590436</v>
      </c>
      <c r="BO141" s="2" t="str">
        <f t="shared" si="27"/>
        <v>C+</v>
      </c>
    </row>
    <row r="142" spans="1:67" x14ac:dyDescent="0.35">
      <c r="A142" s="15">
        <v>141</v>
      </c>
      <c r="B142" s="10" t="s">
        <v>163</v>
      </c>
      <c r="C142" s="11">
        <v>31</v>
      </c>
      <c r="D142" s="11">
        <v>1</v>
      </c>
      <c r="E142" s="11">
        <v>1</v>
      </c>
      <c r="F142" s="11">
        <v>1</v>
      </c>
      <c r="G142" s="11">
        <v>1</v>
      </c>
      <c r="H142" s="11">
        <v>1</v>
      </c>
      <c r="I142" s="11">
        <v>1</v>
      </c>
      <c r="J142" s="11">
        <v>1</v>
      </c>
      <c r="K142" s="11">
        <v>1</v>
      </c>
      <c r="L142" s="11">
        <v>1</v>
      </c>
      <c r="M142" s="11">
        <v>1</v>
      </c>
      <c r="N142" s="11">
        <v>1</v>
      </c>
      <c r="O142" s="11">
        <v>1</v>
      </c>
      <c r="P142" s="11">
        <v>1</v>
      </c>
      <c r="Q142" s="11">
        <v>1</v>
      </c>
      <c r="R142" s="11">
        <v>1</v>
      </c>
      <c r="S142" s="11">
        <v>1</v>
      </c>
      <c r="T142" s="11">
        <v>1</v>
      </c>
      <c r="U142" s="11">
        <v>1</v>
      </c>
      <c r="V142" s="11">
        <v>1</v>
      </c>
      <c r="W142" s="11">
        <v>0</v>
      </c>
      <c r="X142" s="11">
        <v>1</v>
      </c>
      <c r="Y142" s="11">
        <v>0</v>
      </c>
      <c r="Z142" s="11">
        <v>1</v>
      </c>
      <c r="AA142" s="11">
        <v>0</v>
      </c>
      <c r="AB142" s="11">
        <v>1</v>
      </c>
      <c r="AC142" s="11">
        <v>1</v>
      </c>
      <c r="AD142" s="11">
        <v>0</v>
      </c>
      <c r="AE142" s="11">
        <v>1</v>
      </c>
      <c r="AF142" s="11">
        <v>1</v>
      </c>
      <c r="AG142" s="11">
        <v>1</v>
      </c>
      <c r="AH142" s="11">
        <v>1</v>
      </c>
      <c r="AI142" s="11">
        <v>0</v>
      </c>
      <c r="AJ142" s="11">
        <v>0</v>
      </c>
      <c r="AK142" s="11">
        <v>0</v>
      </c>
      <c r="AL142" s="11">
        <v>0</v>
      </c>
      <c r="AM142" s="11">
        <v>1</v>
      </c>
      <c r="AN142" s="11">
        <v>1</v>
      </c>
      <c r="AO142" s="11">
        <v>0</v>
      </c>
      <c r="AP142" s="11">
        <v>1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1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5">
        <f t="shared" si="28"/>
        <v>99.269269908619407</v>
      </c>
      <c r="BH142" s="3">
        <f t="shared" si="29"/>
        <v>25.351239513549668</v>
      </c>
      <c r="BI142" s="3">
        <f t="shared" si="30"/>
        <v>29.648760486450332</v>
      </c>
      <c r="BJ142" s="3">
        <f t="shared" si="22"/>
        <v>-0.15659269488857863</v>
      </c>
      <c r="BK142" s="3">
        <f t="shared" si="23"/>
        <v>-0.45609683602320777</v>
      </c>
      <c r="BL142" s="3">
        <f t="shared" si="24"/>
        <v>0.94333424358242735</v>
      </c>
      <c r="BM142" s="3">
        <f t="shared" si="25"/>
        <v>0.31749524961293196</v>
      </c>
      <c r="BN142" s="3">
        <f t="shared" si="26"/>
        <v>53.174952496129322</v>
      </c>
      <c r="BO142" s="2" t="str">
        <f t="shared" si="27"/>
        <v>C+</v>
      </c>
    </row>
    <row r="143" spans="1:67" x14ac:dyDescent="0.35">
      <c r="A143" s="1">
        <v>142</v>
      </c>
      <c r="B143" s="10" t="s">
        <v>164</v>
      </c>
      <c r="C143" s="11">
        <v>31</v>
      </c>
      <c r="D143" s="11">
        <v>1</v>
      </c>
      <c r="E143" s="11">
        <v>1</v>
      </c>
      <c r="F143" s="11">
        <v>1</v>
      </c>
      <c r="G143" s="11">
        <v>1</v>
      </c>
      <c r="H143" s="11">
        <v>1</v>
      </c>
      <c r="I143" s="11">
        <v>1</v>
      </c>
      <c r="J143" s="11">
        <v>1</v>
      </c>
      <c r="K143" s="11">
        <v>1</v>
      </c>
      <c r="L143" s="11">
        <v>1</v>
      </c>
      <c r="M143" s="11">
        <v>1</v>
      </c>
      <c r="N143" s="11">
        <v>0</v>
      </c>
      <c r="O143" s="11">
        <v>1</v>
      </c>
      <c r="P143" s="11">
        <v>1</v>
      </c>
      <c r="Q143" s="11">
        <v>1</v>
      </c>
      <c r="R143" s="11">
        <v>0</v>
      </c>
      <c r="S143" s="11">
        <v>1</v>
      </c>
      <c r="T143" s="11">
        <v>0</v>
      </c>
      <c r="U143" s="11">
        <v>1</v>
      </c>
      <c r="V143" s="11">
        <v>0</v>
      </c>
      <c r="W143" s="11">
        <v>1</v>
      </c>
      <c r="X143" s="11">
        <v>0</v>
      </c>
      <c r="Y143" s="11">
        <v>1</v>
      </c>
      <c r="Z143" s="11">
        <v>1</v>
      </c>
      <c r="AA143" s="11">
        <v>0</v>
      </c>
      <c r="AB143" s="11">
        <v>1</v>
      </c>
      <c r="AC143" s="11">
        <v>1</v>
      </c>
      <c r="AD143" s="11">
        <v>0</v>
      </c>
      <c r="AE143" s="11">
        <v>1</v>
      </c>
      <c r="AF143" s="11">
        <v>1</v>
      </c>
      <c r="AG143" s="11">
        <v>1</v>
      </c>
      <c r="AH143" s="11">
        <v>1</v>
      </c>
      <c r="AI143" s="11">
        <v>1</v>
      </c>
      <c r="AJ143" s="11">
        <v>1</v>
      </c>
      <c r="AK143" s="11">
        <v>1</v>
      </c>
      <c r="AL143" s="11">
        <v>1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1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1</v>
      </c>
      <c r="BA143" s="11">
        <v>0</v>
      </c>
      <c r="BB143" s="11">
        <v>0</v>
      </c>
      <c r="BC143" s="11">
        <v>1</v>
      </c>
      <c r="BD143" s="11">
        <v>0</v>
      </c>
      <c r="BE143" s="11">
        <v>0</v>
      </c>
      <c r="BF143" s="11">
        <v>0</v>
      </c>
      <c r="BG143" s="5">
        <f t="shared" si="28"/>
        <v>99.008412980505156</v>
      </c>
      <c r="BH143" s="3">
        <f t="shared" si="29"/>
        <v>25.284622256572955</v>
      </c>
      <c r="BI143" s="3">
        <f t="shared" si="30"/>
        <v>29.715377743427045</v>
      </c>
      <c r="BJ143" s="3">
        <f t="shared" si="22"/>
        <v>-0.16146828595867688</v>
      </c>
      <c r="BK143" s="3">
        <f t="shared" si="23"/>
        <v>-0.45609683602320777</v>
      </c>
      <c r="BL143" s="3">
        <f t="shared" si="24"/>
        <v>0.94333424358242735</v>
      </c>
      <c r="BM143" s="3">
        <f t="shared" si="25"/>
        <v>0.3123267835010875</v>
      </c>
      <c r="BN143" s="3">
        <f t="shared" si="26"/>
        <v>53.123267835010878</v>
      </c>
      <c r="BO143" s="2" t="str">
        <f t="shared" si="27"/>
        <v>C+</v>
      </c>
    </row>
    <row r="144" spans="1:67" x14ac:dyDescent="0.35">
      <c r="A144" s="15">
        <v>143</v>
      </c>
      <c r="B144" s="10" t="s">
        <v>165</v>
      </c>
      <c r="C144" s="11">
        <v>31</v>
      </c>
      <c r="D144" s="11">
        <v>1</v>
      </c>
      <c r="E144" s="11">
        <v>1</v>
      </c>
      <c r="F144" s="11">
        <v>1</v>
      </c>
      <c r="G144" s="11">
        <v>1</v>
      </c>
      <c r="H144" s="11">
        <v>1</v>
      </c>
      <c r="I144" s="11">
        <v>1</v>
      </c>
      <c r="J144" s="11">
        <v>1</v>
      </c>
      <c r="K144" s="11">
        <v>1</v>
      </c>
      <c r="L144" s="11">
        <v>1</v>
      </c>
      <c r="M144" s="11">
        <v>1</v>
      </c>
      <c r="N144" s="11">
        <v>1</v>
      </c>
      <c r="O144" s="11">
        <v>1</v>
      </c>
      <c r="P144" s="11">
        <v>1</v>
      </c>
      <c r="Q144" s="11">
        <v>1</v>
      </c>
      <c r="R144" s="11">
        <v>0</v>
      </c>
      <c r="S144" s="11">
        <v>1</v>
      </c>
      <c r="T144" s="11">
        <v>1</v>
      </c>
      <c r="U144" s="11">
        <v>1</v>
      </c>
      <c r="V144" s="11">
        <v>1</v>
      </c>
      <c r="W144" s="11">
        <v>1</v>
      </c>
      <c r="X144" s="11">
        <v>1</v>
      </c>
      <c r="Y144" s="11">
        <v>1</v>
      </c>
      <c r="Z144" s="11">
        <v>1</v>
      </c>
      <c r="AA144" s="11">
        <v>0</v>
      </c>
      <c r="AB144" s="11">
        <v>1</v>
      </c>
      <c r="AC144" s="11">
        <v>1</v>
      </c>
      <c r="AD144" s="11">
        <v>0</v>
      </c>
      <c r="AE144" s="11">
        <v>1</v>
      </c>
      <c r="AF144" s="11">
        <v>0</v>
      </c>
      <c r="AG144" s="11">
        <v>1</v>
      </c>
      <c r="AH144" s="11">
        <v>1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1</v>
      </c>
      <c r="AP144" s="11">
        <v>1</v>
      </c>
      <c r="AQ144" s="11">
        <v>0</v>
      </c>
      <c r="AR144" s="11">
        <v>0</v>
      </c>
      <c r="AS144" s="11">
        <v>1</v>
      </c>
      <c r="AT144" s="11">
        <v>1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5">
        <f t="shared" si="28"/>
        <v>98.918308082656239</v>
      </c>
      <c r="BH144" s="3">
        <f t="shared" si="29"/>
        <v>25.26161140085885</v>
      </c>
      <c r="BI144" s="3">
        <f t="shared" si="30"/>
        <v>29.73838859914115</v>
      </c>
      <c r="BJ144" s="3">
        <f t="shared" si="22"/>
        <v>-0.16315284913746578</v>
      </c>
      <c r="BK144" s="3">
        <f t="shared" si="23"/>
        <v>-0.45609683602320777</v>
      </c>
      <c r="BL144" s="3">
        <f t="shared" si="24"/>
        <v>0.94333424358242735</v>
      </c>
      <c r="BM144" s="3">
        <f t="shared" si="25"/>
        <v>0.31054102920429488</v>
      </c>
      <c r="BN144" s="3">
        <f t="shared" si="26"/>
        <v>53.105410292042947</v>
      </c>
      <c r="BO144" s="2" t="str">
        <f t="shared" si="27"/>
        <v>C+</v>
      </c>
    </row>
    <row r="145" spans="1:67" x14ac:dyDescent="0.35">
      <c r="A145" s="15">
        <v>144</v>
      </c>
      <c r="B145" s="12">
        <v>5072519</v>
      </c>
      <c r="C145" s="11">
        <v>31</v>
      </c>
      <c r="D145" s="11">
        <v>1</v>
      </c>
      <c r="E145" s="11">
        <v>1</v>
      </c>
      <c r="F145" s="11">
        <v>1</v>
      </c>
      <c r="G145" s="11">
        <v>1</v>
      </c>
      <c r="H145" s="11">
        <v>1</v>
      </c>
      <c r="I145" s="11">
        <v>1</v>
      </c>
      <c r="J145" s="11">
        <v>0</v>
      </c>
      <c r="K145" s="11">
        <v>1</v>
      </c>
      <c r="L145" s="11">
        <v>1</v>
      </c>
      <c r="M145" s="11">
        <v>1</v>
      </c>
      <c r="N145" s="11">
        <v>1</v>
      </c>
      <c r="O145" s="11">
        <v>1</v>
      </c>
      <c r="P145" s="11">
        <v>1</v>
      </c>
      <c r="Q145" s="11">
        <v>1</v>
      </c>
      <c r="R145" s="11">
        <v>1</v>
      </c>
      <c r="S145" s="11">
        <v>1</v>
      </c>
      <c r="T145" s="11">
        <v>1</v>
      </c>
      <c r="U145" s="11">
        <v>1</v>
      </c>
      <c r="V145" s="11">
        <v>1</v>
      </c>
      <c r="W145" s="11">
        <v>0</v>
      </c>
      <c r="X145" s="11">
        <v>0</v>
      </c>
      <c r="Y145" s="11">
        <v>0</v>
      </c>
      <c r="Z145" s="11">
        <v>1</v>
      </c>
      <c r="AA145" s="11">
        <v>0</v>
      </c>
      <c r="AB145" s="11">
        <v>1</v>
      </c>
      <c r="AC145" s="11">
        <v>1</v>
      </c>
      <c r="AD145" s="11">
        <v>0</v>
      </c>
      <c r="AE145" s="11">
        <v>1</v>
      </c>
      <c r="AF145" s="11">
        <v>1</v>
      </c>
      <c r="AG145" s="11">
        <v>0</v>
      </c>
      <c r="AH145" s="11">
        <v>1</v>
      </c>
      <c r="AI145" s="11">
        <v>1</v>
      </c>
      <c r="AJ145" s="11">
        <v>1</v>
      </c>
      <c r="AK145" s="11">
        <v>1</v>
      </c>
      <c r="AL145" s="11">
        <v>1</v>
      </c>
      <c r="AM145" s="11">
        <v>1</v>
      </c>
      <c r="AN145" s="11">
        <v>0</v>
      </c>
      <c r="AO145" s="11">
        <v>0</v>
      </c>
      <c r="AP145" s="11">
        <v>0</v>
      </c>
      <c r="AQ145" s="11">
        <v>1</v>
      </c>
      <c r="AR145" s="11">
        <v>1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5">
        <f t="shared" si="28"/>
        <v>98.904715362652595</v>
      </c>
      <c r="BH145" s="3">
        <f t="shared" si="29"/>
        <v>25.258140112102822</v>
      </c>
      <c r="BI145" s="3">
        <f t="shared" si="30"/>
        <v>29.741859887897178</v>
      </c>
      <c r="BJ145" s="3">
        <f t="shared" si="22"/>
        <v>-0.16340699289285576</v>
      </c>
      <c r="BK145" s="3">
        <f t="shared" si="23"/>
        <v>-0.45609683602320777</v>
      </c>
      <c r="BL145" s="3">
        <f t="shared" si="24"/>
        <v>0.94333424358242735</v>
      </c>
      <c r="BM145" s="3">
        <f t="shared" si="25"/>
        <v>0.3102716191228535</v>
      </c>
      <c r="BN145" s="3">
        <f t="shared" si="26"/>
        <v>53.102716191228538</v>
      </c>
      <c r="BO145" s="2" t="str">
        <f t="shared" si="27"/>
        <v>C+</v>
      </c>
    </row>
    <row r="146" spans="1:67" x14ac:dyDescent="0.35">
      <c r="A146" s="1">
        <v>145</v>
      </c>
      <c r="B146" s="12">
        <v>1028008</v>
      </c>
      <c r="C146" s="11">
        <v>30</v>
      </c>
      <c r="D146" s="11">
        <v>1</v>
      </c>
      <c r="E146" s="11">
        <v>1</v>
      </c>
      <c r="F146" s="11">
        <v>1</v>
      </c>
      <c r="G146" s="11">
        <v>1</v>
      </c>
      <c r="H146" s="11">
        <v>1</v>
      </c>
      <c r="I146" s="11">
        <v>1</v>
      </c>
      <c r="J146" s="11">
        <v>1</v>
      </c>
      <c r="K146" s="11">
        <v>1</v>
      </c>
      <c r="L146" s="11">
        <v>1</v>
      </c>
      <c r="M146" s="11">
        <v>1</v>
      </c>
      <c r="N146" s="11">
        <v>1</v>
      </c>
      <c r="O146" s="11">
        <v>1</v>
      </c>
      <c r="P146" s="11">
        <v>0</v>
      </c>
      <c r="Q146" s="11">
        <v>1</v>
      </c>
      <c r="R146" s="11">
        <v>0</v>
      </c>
      <c r="S146" s="11">
        <v>1</v>
      </c>
      <c r="T146" s="11">
        <v>1</v>
      </c>
      <c r="U146" s="11">
        <v>1</v>
      </c>
      <c r="V146" s="11">
        <v>1</v>
      </c>
      <c r="W146" s="11">
        <v>0</v>
      </c>
      <c r="X146" s="11">
        <v>0</v>
      </c>
      <c r="Y146" s="11">
        <v>0</v>
      </c>
      <c r="Z146" s="11">
        <v>0</v>
      </c>
      <c r="AA146" s="11">
        <v>1</v>
      </c>
      <c r="AB146" s="11">
        <v>0</v>
      </c>
      <c r="AC146" s="11">
        <v>1</v>
      </c>
      <c r="AD146" s="11">
        <v>0</v>
      </c>
      <c r="AE146" s="11">
        <v>1</v>
      </c>
      <c r="AF146" s="11">
        <v>1</v>
      </c>
      <c r="AG146" s="11">
        <v>1</v>
      </c>
      <c r="AH146" s="11">
        <v>1</v>
      </c>
      <c r="AI146" s="11">
        <v>1</v>
      </c>
      <c r="AJ146" s="11">
        <v>0</v>
      </c>
      <c r="AK146" s="11">
        <v>1</v>
      </c>
      <c r="AL146" s="11">
        <v>0</v>
      </c>
      <c r="AM146" s="11">
        <v>1</v>
      </c>
      <c r="AN146" s="11">
        <v>0</v>
      </c>
      <c r="AO146" s="11">
        <v>1</v>
      </c>
      <c r="AP146" s="11">
        <v>0</v>
      </c>
      <c r="AQ146" s="11">
        <v>0</v>
      </c>
      <c r="AR146" s="11">
        <v>1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1</v>
      </c>
      <c r="BF146" s="11">
        <v>1</v>
      </c>
      <c r="BG146" s="5">
        <f t="shared" si="28"/>
        <v>98.532111954106398</v>
      </c>
      <c r="BH146" s="3">
        <f t="shared" si="29"/>
        <v>25.16298520401984</v>
      </c>
      <c r="BI146" s="3">
        <f t="shared" si="30"/>
        <v>29.83701479598016</v>
      </c>
      <c r="BJ146" s="3">
        <f t="shared" si="22"/>
        <v>-0.17037565637955387</v>
      </c>
      <c r="BK146" s="3">
        <f t="shared" si="23"/>
        <v>-0.45609683602320777</v>
      </c>
      <c r="BL146" s="3">
        <f t="shared" si="24"/>
        <v>0.94333424358242735</v>
      </c>
      <c r="BM146" s="3">
        <f t="shared" si="25"/>
        <v>0.30288435047008655</v>
      </c>
      <c r="BN146" s="3">
        <f t="shared" si="26"/>
        <v>53.028843504700866</v>
      </c>
      <c r="BO146" s="2" t="str">
        <f t="shared" si="27"/>
        <v>C+</v>
      </c>
    </row>
    <row r="147" spans="1:67" x14ac:dyDescent="0.35">
      <c r="A147" s="15">
        <v>146</v>
      </c>
      <c r="B147" s="12">
        <v>306007</v>
      </c>
      <c r="C147" s="11">
        <v>31</v>
      </c>
      <c r="D147" s="11">
        <v>1</v>
      </c>
      <c r="E147" s="11">
        <v>1</v>
      </c>
      <c r="F147" s="11">
        <v>1</v>
      </c>
      <c r="G147" s="11">
        <v>1</v>
      </c>
      <c r="H147" s="11">
        <v>1</v>
      </c>
      <c r="I147" s="11">
        <v>1</v>
      </c>
      <c r="J147" s="11">
        <v>1</v>
      </c>
      <c r="K147" s="11">
        <v>1</v>
      </c>
      <c r="L147" s="11">
        <v>1</v>
      </c>
      <c r="M147" s="11">
        <v>1</v>
      </c>
      <c r="N147" s="11">
        <v>1</v>
      </c>
      <c r="O147" s="11">
        <v>1</v>
      </c>
      <c r="P147" s="11">
        <v>1</v>
      </c>
      <c r="Q147" s="11">
        <v>1</v>
      </c>
      <c r="R147" s="11">
        <v>1</v>
      </c>
      <c r="S147" s="11">
        <v>1</v>
      </c>
      <c r="T147" s="11">
        <v>1</v>
      </c>
      <c r="U147" s="11">
        <v>1</v>
      </c>
      <c r="V147" s="11">
        <v>0</v>
      </c>
      <c r="W147" s="11">
        <v>1</v>
      </c>
      <c r="X147" s="11">
        <v>0</v>
      </c>
      <c r="Y147" s="11">
        <v>1</v>
      </c>
      <c r="Z147" s="11">
        <v>0</v>
      </c>
      <c r="AA147" s="11">
        <v>0</v>
      </c>
      <c r="AB147" s="11">
        <v>0</v>
      </c>
      <c r="AC147" s="11">
        <v>1</v>
      </c>
      <c r="AD147" s="11">
        <v>1</v>
      </c>
      <c r="AE147" s="11">
        <v>0</v>
      </c>
      <c r="AF147" s="11">
        <v>1</v>
      </c>
      <c r="AG147" s="11">
        <v>0</v>
      </c>
      <c r="AH147" s="11">
        <v>1</v>
      </c>
      <c r="AI147" s="11">
        <v>0</v>
      </c>
      <c r="AJ147" s="11">
        <v>1</v>
      </c>
      <c r="AK147" s="11">
        <v>1</v>
      </c>
      <c r="AL147" s="11">
        <v>1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1</v>
      </c>
      <c r="AT147" s="11">
        <v>0</v>
      </c>
      <c r="AU147" s="11">
        <v>0</v>
      </c>
      <c r="AV147" s="11">
        <v>0</v>
      </c>
      <c r="AW147" s="11">
        <v>1</v>
      </c>
      <c r="AX147" s="11">
        <v>0</v>
      </c>
      <c r="AY147" s="11">
        <v>0</v>
      </c>
      <c r="AZ147" s="11">
        <v>0</v>
      </c>
      <c r="BA147" s="11">
        <v>1</v>
      </c>
      <c r="BB147" s="11">
        <v>1</v>
      </c>
      <c r="BC147" s="11">
        <v>0</v>
      </c>
      <c r="BD147" s="11">
        <v>0</v>
      </c>
      <c r="BE147" s="11">
        <v>0</v>
      </c>
      <c r="BF147" s="11">
        <v>0</v>
      </c>
      <c r="BG147" s="5">
        <f t="shared" si="28"/>
        <v>98.359653599224501</v>
      </c>
      <c r="BH147" s="3">
        <f t="shared" si="29"/>
        <v>25.118943044097154</v>
      </c>
      <c r="BI147" s="3">
        <f t="shared" si="30"/>
        <v>29.881056955902846</v>
      </c>
      <c r="BJ147" s="3">
        <f t="shared" si="22"/>
        <v>-0.17360246855110067</v>
      </c>
      <c r="BK147" s="3">
        <f t="shared" si="23"/>
        <v>-0.45609683602320777</v>
      </c>
      <c r="BL147" s="3">
        <f t="shared" si="24"/>
        <v>0.94333424358242735</v>
      </c>
      <c r="BM147" s="3">
        <f t="shared" si="25"/>
        <v>0.29946370482566192</v>
      </c>
      <c r="BN147" s="3">
        <f t="shared" si="26"/>
        <v>52.994637048256621</v>
      </c>
      <c r="BO147" s="2" t="str">
        <f t="shared" si="27"/>
        <v>C+</v>
      </c>
    </row>
    <row r="148" spans="1:67" x14ac:dyDescent="0.35">
      <c r="A148" s="15">
        <v>147</v>
      </c>
      <c r="B148" s="10" t="s">
        <v>166</v>
      </c>
      <c r="C148" s="11">
        <v>31</v>
      </c>
      <c r="D148" s="11">
        <v>1</v>
      </c>
      <c r="E148" s="11">
        <v>1</v>
      </c>
      <c r="F148" s="11">
        <v>1</v>
      </c>
      <c r="G148" s="11">
        <v>1</v>
      </c>
      <c r="H148" s="11">
        <v>1</v>
      </c>
      <c r="I148" s="11">
        <v>1</v>
      </c>
      <c r="J148" s="11">
        <v>1</v>
      </c>
      <c r="K148" s="11">
        <v>1</v>
      </c>
      <c r="L148" s="11">
        <v>1</v>
      </c>
      <c r="M148" s="11">
        <v>1</v>
      </c>
      <c r="N148" s="11">
        <v>1</v>
      </c>
      <c r="O148" s="11">
        <v>1</v>
      </c>
      <c r="P148" s="11">
        <v>0</v>
      </c>
      <c r="Q148" s="11">
        <v>1</v>
      </c>
      <c r="R148" s="11">
        <v>1</v>
      </c>
      <c r="S148" s="11">
        <v>1</v>
      </c>
      <c r="T148" s="11">
        <v>1</v>
      </c>
      <c r="U148" s="11">
        <v>0</v>
      </c>
      <c r="V148" s="11">
        <v>0</v>
      </c>
      <c r="W148" s="11">
        <v>1</v>
      </c>
      <c r="X148" s="11">
        <v>0</v>
      </c>
      <c r="Y148" s="11">
        <v>0</v>
      </c>
      <c r="Z148" s="11">
        <v>1</v>
      </c>
      <c r="AA148" s="11">
        <v>1</v>
      </c>
      <c r="AB148" s="11">
        <v>0</v>
      </c>
      <c r="AC148" s="11">
        <v>1</v>
      </c>
      <c r="AD148" s="11">
        <v>0</v>
      </c>
      <c r="AE148" s="11">
        <v>1</v>
      </c>
      <c r="AF148" s="11">
        <v>1</v>
      </c>
      <c r="AG148" s="11">
        <v>1</v>
      </c>
      <c r="AH148" s="11">
        <v>0</v>
      </c>
      <c r="AI148" s="11">
        <v>1</v>
      </c>
      <c r="AJ148" s="11">
        <v>1</v>
      </c>
      <c r="AK148" s="11">
        <v>1</v>
      </c>
      <c r="AL148" s="11">
        <v>1</v>
      </c>
      <c r="AM148" s="11">
        <v>1</v>
      </c>
      <c r="AN148" s="11">
        <v>1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1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1</v>
      </c>
      <c r="BD148" s="11">
        <v>0</v>
      </c>
      <c r="BE148" s="11">
        <v>0</v>
      </c>
      <c r="BF148" s="11">
        <v>0</v>
      </c>
      <c r="BG148" s="5">
        <f t="shared" si="28"/>
        <v>97.915381882859293</v>
      </c>
      <c r="BH148" s="3">
        <f t="shared" si="29"/>
        <v>25.005485589428268</v>
      </c>
      <c r="BI148" s="3">
        <f t="shared" si="30"/>
        <v>29.994514410571732</v>
      </c>
      <c r="BJ148" s="3">
        <f t="shared" si="22"/>
        <v>-0.18191928758606934</v>
      </c>
      <c r="BK148" s="3">
        <f t="shared" si="23"/>
        <v>-0.45609683602320777</v>
      </c>
      <c r="BL148" s="3">
        <f t="shared" si="24"/>
        <v>0.94333424358242735</v>
      </c>
      <c r="BM148" s="3">
        <f t="shared" si="25"/>
        <v>0.29064729739473422</v>
      </c>
      <c r="BN148" s="3">
        <f t="shared" si="26"/>
        <v>52.906472973947345</v>
      </c>
      <c r="BO148" s="2" t="str">
        <f t="shared" si="27"/>
        <v>C+</v>
      </c>
    </row>
    <row r="149" spans="1:67" x14ac:dyDescent="0.35">
      <c r="A149" s="1">
        <v>148</v>
      </c>
      <c r="B149" s="10" t="s">
        <v>167</v>
      </c>
      <c r="C149" s="11">
        <v>31</v>
      </c>
      <c r="D149" s="11">
        <v>1</v>
      </c>
      <c r="E149" s="11">
        <v>1</v>
      </c>
      <c r="F149" s="11">
        <v>1</v>
      </c>
      <c r="G149" s="11">
        <v>1</v>
      </c>
      <c r="H149" s="11">
        <v>1</v>
      </c>
      <c r="I149" s="11">
        <v>1</v>
      </c>
      <c r="J149" s="11">
        <v>1</v>
      </c>
      <c r="K149" s="11">
        <v>1</v>
      </c>
      <c r="L149" s="11">
        <v>1</v>
      </c>
      <c r="M149" s="11">
        <v>1</v>
      </c>
      <c r="N149" s="11">
        <v>1</v>
      </c>
      <c r="O149" s="11">
        <v>1</v>
      </c>
      <c r="P149" s="11">
        <v>0</v>
      </c>
      <c r="Q149" s="11">
        <v>1</v>
      </c>
      <c r="R149" s="11">
        <v>0</v>
      </c>
      <c r="S149" s="11">
        <v>1</v>
      </c>
      <c r="T149" s="11">
        <v>1</v>
      </c>
      <c r="U149" s="11">
        <v>1</v>
      </c>
      <c r="V149" s="11">
        <v>1</v>
      </c>
      <c r="W149" s="11">
        <v>0</v>
      </c>
      <c r="X149" s="11">
        <v>1</v>
      </c>
      <c r="Y149" s="11">
        <v>1</v>
      </c>
      <c r="Z149" s="11">
        <v>1</v>
      </c>
      <c r="AA149" s="11">
        <v>1</v>
      </c>
      <c r="AB149" s="11">
        <v>0</v>
      </c>
      <c r="AC149" s="11">
        <v>1</v>
      </c>
      <c r="AD149" s="11">
        <v>1</v>
      </c>
      <c r="AE149" s="11">
        <v>0</v>
      </c>
      <c r="AF149" s="11">
        <v>0</v>
      </c>
      <c r="AG149" s="11">
        <v>0</v>
      </c>
      <c r="AH149" s="11">
        <v>1</v>
      </c>
      <c r="AI149" s="11">
        <v>1</v>
      </c>
      <c r="AJ149" s="11">
        <v>1</v>
      </c>
      <c r="AK149" s="11">
        <v>1</v>
      </c>
      <c r="AL149" s="11">
        <v>1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1</v>
      </c>
      <c r="BA149" s="11">
        <v>1</v>
      </c>
      <c r="BB149" s="11">
        <v>1</v>
      </c>
      <c r="BC149" s="11">
        <v>0</v>
      </c>
      <c r="BD149" s="11">
        <v>0</v>
      </c>
      <c r="BE149" s="11">
        <v>0</v>
      </c>
      <c r="BF149" s="11">
        <v>0</v>
      </c>
      <c r="BG149" s="5">
        <f t="shared" si="28"/>
        <v>97.871292178431148</v>
      </c>
      <c r="BH149" s="3">
        <f t="shared" si="29"/>
        <v>24.994226025838568</v>
      </c>
      <c r="BI149" s="3">
        <f t="shared" si="30"/>
        <v>30.005773974161432</v>
      </c>
      <c r="BJ149" s="3">
        <f t="shared" si="22"/>
        <v>-0.18274498972175546</v>
      </c>
      <c r="BK149" s="3">
        <f t="shared" si="23"/>
        <v>-0.45609683602320777</v>
      </c>
      <c r="BL149" s="3">
        <f t="shared" si="24"/>
        <v>0.94333424358242735</v>
      </c>
      <c r="BM149" s="3">
        <f t="shared" si="25"/>
        <v>0.28977199562200268</v>
      </c>
      <c r="BN149" s="3">
        <f t="shared" si="26"/>
        <v>52.89771995622003</v>
      </c>
      <c r="BO149" s="2" t="str">
        <f t="shared" si="27"/>
        <v>C+</v>
      </c>
    </row>
    <row r="150" spans="1:67" x14ac:dyDescent="0.35">
      <c r="A150" s="15">
        <v>149</v>
      </c>
      <c r="B150" s="10" t="s">
        <v>168</v>
      </c>
      <c r="C150" s="11">
        <v>31</v>
      </c>
      <c r="D150" s="11">
        <v>1</v>
      </c>
      <c r="E150" s="11">
        <v>1</v>
      </c>
      <c r="F150" s="11">
        <v>1</v>
      </c>
      <c r="G150" s="11">
        <v>1</v>
      </c>
      <c r="H150" s="11">
        <v>1</v>
      </c>
      <c r="I150" s="11">
        <v>0</v>
      </c>
      <c r="J150" s="11">
        <v>1</v>
      </c>
      <c r="K150" s="11">
        <v>1</v>
      </c>
      <c r="L150" s="11">
        <v>1</v>
      </c>
      <c r="M150" s="11">
        <v>1</v>
      </c>
      <c r="N150" s="11">
        <v>1</v>
      </c>
      <c r="O150" s="11">
        <v>1</v>
      </c>
      <c r="P150" s="11">
        <v>1</v>
      </c>
      <c r="Q150" s="11">
        <v>1</v>
      </c>
      <c r="R150" s="11">
        <v>1</v>
      </c>
      <c r="S150" s="11">
        <v>1</v>
      </c>
      <c r="T150" s="11">
        <v>1</v>
      </c>
      <c r="U150" s="11">
        <v>1</v>
      </c>
      <c r="V150" s="11">
        <v>1</v>
      </c>
      <c r="W150" s="11">
        <v>1</v>
      </c>
      <c r="X150" s="11">
        <v>1</v>
      </c>
      <c r="Y150" s="11">
        <v>1</v>
      </c>
      <c r="Z150" s="11">
        <v>1</v>
      </c>
      <c r="AA150" s="11">
        <v>0</v>
      </c>
      <c r="AB150" s="11">
        <v>0</v>
      </c>
      <c r="AC150" s="11">
        <v>1</v>
      </c>
      <c r="AD150" s="11">
        <v>1</v>
      </c>
      <c r="AE150" s="11">
        <v>1</v>
      </c>
      <c r="AF150" s="11">
        <v>0</v>
      </c>
      <c r="AG150" s="11">
        <v>1</v>
      </c>
      <c r="AH150" s="11">
        <v>1</v>
      </c>
      <c r="AI150" s="11">
        <v>0</v>
      </c>
      <c r="AJ150" s="11">
        <v>0</v>
      </c>
      <c r="AK150" s="11">
        <v>0</v>
      </c>
      <c r="AL150" s="11">
        <v>1</v>
      </c>
      <c r="AM150" s="11">
        <v>1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1</v>
      </c>
      <c r="AV150" s="11">
        <v>1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5">
        <f t="shared" si="28"/>
        <v>97.74307042242458</v>
      </c>
      <c r="BH150" s="3">
        <f t="shared" si="29"/>
        <v>24.961480943192523</v>
      </c>
      <c r="BI150" s="3">
        <f t="shared" si="30"/>
        <v>30.038519056807477</v>
      </c>
      <c r="BJ150" s="3">
        <f t="shared" si="22"/>
        <v>-0.1851466522385958</v>
      </c>
      <c r="BK150" s="3">
        <f t="shared" si="23"/>
        <v>-0.45609683602320777</v>
      </c>
      <c r="BL150" s="3">
        <f t="shared" si="24"/>
        <v>0.94333424358242735</v>
      </c>
      <c r="BM150" s="3">
        <f t="shared" si="25"/>
        <v>0.28722606608199175</v>
      </c>
      <c r="BN150" s="3">
        <f t="shared" si="26"/>
        <v>52.872260660819919</v>
      </c>
      <c r="BO150" s="2" t="str">
        <f t="shared" si="27"/>
        <v>C+</v>
      </c>
    </row>
    <row r="151" spans="1:67" x14ac:dyDescent="0.35">
      <c r="A151" s="15">
        <v>150</v>
      </c>
      <c r="B151" s="10" t="s">
        <v>169</v>
      </c>
      <c r="C151" s="11">
        <v>31</v>
      </c>
      <c r="D151" s="11">
        <v>1</v>
      </c>
      <c r="E151" s="11">
        <v>1</v>
      </c>
      <c r="F151" s="11">
        <v>1</v>
      </c>
      <c r="G151" s="11">
        <v>1</v>
      </c>
      <c r="H151" s="11">
        <v>1</v>
      </c>
      <c r="I151" s="11">
        <v>1</v>
      </c>
      <c r="J151" s="11">
        <v>1</v>
      </c>
      <c r="K151" s="11">
        <v>1</v>
      </c>
      <c r="L151" s="11">
        <v>0</v>
      </c>
      <c r="M151" s="11">
        <v>1</v>
      </c>
      <c r="N151" s="11">
        <v>1</v>
      </c>
      <c r="O151" s="11">
        <v>1</v>
      </c>
      <c r="P151" s="11">
        <v>0</v>
      </c>
      <c r="Q151" s="11">
        <v>1</v>
      </c>
      <c r="R151" s="11">
        <v>1</v>
      </c>
      <c r="S151" s="11">
        <v>1</v>
      </c>
      <c r="T151" s="11">
        <v>1</v>
      </c>
      <c r="U151" s="11">
        <v>1</v>
      </c>
      <c r="V151" s="11">
        <v>1</v>
      </c>
      <c r="W151" s="11">
        <v>0</v>
      </c>
      <c r="X151" s="11">
        <v>1</v>
      </c>
      <c r="Y151" s="11">
        <v>1</v>
      </c>
      <c r="Z151" s="11">
        <v>1</v>
      </c>
      <c r="AA151" s="11">
        <v>1</v>
      </c>
      <c r="AB151" s="11">
        <v>0</v>
      </c>
      <c r="AC151" s="11">
        <v>1</v>
      </c>
      <c r="AD151" s="11">
        <v>0</v>
      </c>
      <c r="AE151" s="11">
        <v>1</v>
      </c>
      <c r="AF151" s="11">
        <v>1</v>
      </c>
      <c r="AG151" s="11">
        <v>1</v>
      </c>
      <c r="AH151" s="11">
        <v>1</v>
      </c>
      <c r="AI151" s="11">
        <v>0</v>
      </c>
      <c r="AJ151" s="11">
        <v>1</v>
      </c>
      <c r="AK151" s="11">
        <v>0</v>
      </c>
      <c r="AL151" s="11">
        <v>0</v>
      </c>
      <c r="AM151" s="11">
        <v>1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1</v>
      </c>
      <c r="BA151" s="11">
        <v>0</v>
      </c>
      <c r="BB151" s="11">
        <v>0</v>
      </c>
      <c r="BC151" s="11">
        <v>1</v>
      </c>
      <c r="BD151" s="11">
        <v>1</v>
      </c>
      <c r="BE151" s="11">
        <v>0</v>
      </c>
      <c r="BF151" s="11">
        <v>0</v>
      </c>
      <c r="BG151" s="5">
        <f t="shared" si="28"/>
        <v>97.461578293381109</v>
      </c>
      <c r="BH151" s="3">
        <f t="shared" si="29"/>
        <v>24.889593899083813</v>
      </c>
      <c r="BI151" s="3">
        <f t="shared" si="30"/>
        <v>30.110406100916187</v>
      </c>
      <c r="BJ151" s="3">
        <f t="shared" si="22"/>
        <v>-0.19042102922655568</v>
      </c>
      <c r="BK151" s="3">
        <f t="shared" si="23"/>
        <v>-0.45609683602320777</v>
      </c>
      <c r="BL151" s="3">
        <f t="shared" si="24"/>
        <v>0.94333424358242735</v>
      </c>
      <c r="BM151" s="3">
        <f t="shared" si="25"/>
        <v>0.28163485912237818</v>
      </c>
      <c r="BN151" s="3">
        <f t="shared" si="26"/>
        <v>52.816348591223779</v>
      </c>
      <c r="BO151" s="2" t="str">
        <f t="shared" si="27"/>
        <v>C+</v>
      </c>
    </row>
    <row r="152" spans="1:67" x14ac:dyDescent="0.35">
      <c r="A152" s="1">
        <v>151</v>
      </c>
      <c r="B152" s="10" t="s">
        <v>170</v>
      </c>
      <c r="C152" s="11">
        <v>30</v>
      </c>
      <c r="D152" s="11">
        <v>1</v>
      </c>
      <c r="E152" s="11">
        <v>1</v>
      </c>
      <c r="F152" s="11">
        <v>1</v>
      </c>
      <c r="G152" s="11">
        <v>1</v>
      </c>
      <c r="H152" s="11">
        <v>1</v>
      </c>
      <c r="I152" s="11">
        <v>0</v>
      </c>
      <c r="J152" s="11">
        <v>1</v>
      </c>
      <c r="K152" s="11">
        <v>0</v>
      </c>
      <c r="L152" s="11">
        <v>1</v>
      </c>
      <c r="M152" s="11">
        <v>1</v>
      </c>
      <c r="N152" s="11">
        <v>0</v>
      </c>
      <c r="O152" s="11">
        <v>1</v>
      </c>
      <c r="P152" s="11">
        <v>1</v>
      </c>
      <c r="Q152" s="11">
        <v>1</v>
      </c>
      <c r="R152" s="11">
        <v>0</v>
      </c>
      <c r="S152" s="11">
        <v>1</v>
      </c>
      <c r="T152" s="11">
        <v>1</v>
      </c>
      <c r="U152" s="11">
        <v>1</v>
      </c>
      <c r="V152" s="11">
        <v>0</v>
      </c>
      <c r="W152" s="11">
        <v>1</v>
      </c>
      <c r="X152" s="11">
        <v>1</v>
      </c>
      <c r="Y152" s="11">
        <v>1</v>
      </c>
      <c r="Z152" s="11">
        <v>0</v>
      </c>
      <c r="AA152" s="11">
        <v>1</v>
      </c>
      <c r="AB152" s="11">
        <v>0</v>
      </c>
      <c r="AC152" s="11">
        <v>1</v>
      </c>
      <c r="AD152" s="11">
        <v>1</v>
      </c>
      <c r="AE152" s="11">
        <v>1</v>
      </c>
      <c r="AF152" s="11">
        <v>0</v>
      </c>
      <c r="AG152" s="11">
        <v>1</v>
      </c>
      <c r="AH152" s="11">
        <v>0</v>
      </c>
      <c r="AI152" s="11">
        <v>1</v>
      </c>
      <c r="AJ152" s="11">
        <v>1</v>
      </c>
      <c r="AK152" s="11">
        <v>1</v>
      </c>
      <c r="AL152" s="11">
        <v>1</v>
      </c>
      <c r="AM152" s="11">
        <v>0</v>
      </c>
      <c r="AN152" s="11">
        <v>0</v>
      </c>
      <c r="AO152" s="11">
        <v>0</v>
      </c>
      <c r="AP152" s="11">
        <v>0</v>
      </c>
      <c r="AQ152" s="11">
        <v>1</v>
      </c>
      <c r="AR152" s="11">
        <v>1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1</v>
      </c>
      <c r="BB152" s="11">
        <v>1</v>
      </c>
      <c r="BC152" s="11">
        <v>0</v>
      </c>
      <c r="BD152" s="11">
        <v>0</v>
      </c>
      <c r="BE152" s="11">
        <v>0</v>
      </c>
      <c r="BF152" s="11">
        <v>0</v>
      </c>
      <c r="BG152" s="5">
        <f t="shared" si="28"/>
        <v>97.384575014378512</v>
      </c>
      <c r="BH152" s="3">
        <f t="shared" si="29"/>
        <v>24.869928915437608</v>
      </c>
      <c r="BI152" s="3">
        <f t="shared" si="30"/>
        <v>30.130071084562392</v>
      </c>
      <c r="BJ152" s="3">
        <f t="shared" si="22"/>
        <v>-0.1918643128355145</v>
      </c>
      <c r="BK152" s="3">
        <f t="shared" si="23"/>
        <v>-0.45609683602320777</v>
      </c>
      <c r="BL152" s="3">
        <f t="shared" si="24"/>
        <v>0.94333424358242735</v>
      </c>
      <c r="BM152" s="3">
        <f t="shared" si="25"/>
        <v>0.28010487797436245</v>
      </c>
      <c r="BN152" s="3">
        <f t="shared" si="26"/>
        <v>52.801048779743624</v>
      </c>
      <c r="BO152" s="2" t="str">
        <f t="shared" si="27"/>
        <v>C+</v>
      </c>
    </row>
    <row r="153" spans="1:67" x14ac:dyDescent="0.35">
      <c r="A153" s="15">
        <v>152</v>
      </c>
      <c r="B153" s="10" t="s">
        <v>171</v>
      </c>
      <c r="C153" s="11">
        <v>29</v>
      </c>
      <c r="D153" s="11">
        <v>0</v>
      </c>
      <c r="E153" s="11">
        <v>1</v>
      </c>
      <c r="F153" s="11">
        <v>1</v>
      </c>
      <c r="G153" s="11">
        <v>1</v>
      </c>
      <c r="H153" s="11">
        <v>1</v>
      </c>
      <c r="I153" s="11">
        <v>0</v>
      </c>
      <c r="J153" s="11">
        <v>1</v>
      </c>
      <c r="K153" s="11">
        <v>1</v>
      </c>
      <c r="L153" s="11">
        <v>1</v>
      </c>
      <c r="M153" s="11">
        <v>1</v>
      </c>
      <c r="N153" s="11">
        <v>0</v>
      </c>
      <c r="O153" s="11">
        <v>1</v>
      </c>
      <c r="P153" s="11">
        <v>0</v>
      </c>
      <c r="Q153" s="11">
        <v>1</v>
      </c>
      <c r="R153" s="11">
        <v>0</v>
      </c>
      <c r="S153" s="11">
        <v>1</v>
      </c>
      <c r="T153" s="11">
        <v>1</v>
      </c>
      <c r="U153" s="11">
        <v>1</v>
      </c>
      <c r="V153" s="11">
        <v>1</v>
      </c>
      <c r="W153" s="11">
        <v>0</v>
      </c>
      <c r="X153" s="11">
        <v>0</v>
      </c>
      <c r="Y153" s="11">
        <v>1</v>
      </c>
      <c r="Z153" s="11">
        <v>0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1">
        <v>0</v>
      </c>
      <c r="AG153" s="11">
        <v>1</v>
      </c>
      <c r="AH153" s="11">
        <v>0</v>
      </c>
      <c r="AI153" s="11">
        <v>1</v>
      </c>
      <c r="AJ153" s="11">
        <v>1</v>
      </c>
      <c r="AK153" s="11">
        <v>1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1</v>
      </c>
      <c r="AT153" s="11">
        <v>1</v>
      </c>
      <c r="AU153" s="11">
        <v>0</v>
      </c>
      <c r="AV153" s="11">
        <v>1</v>
      </c>
      <c r="AW153" s="11">
        <v>1</v>
      </c>
      <c r="AX153" s="11">
        <v>0</v>
      </c>
      <c r="AY153" s="11">
        <v>0</v>
      </c>
      <c r="AZ153" s="11">
        <v>1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5">
        <f t="shared" si="28"/>
        <v>97.319482864693114</v>
      </c>
      <c r="BH153" s="3">
        <f t="shared" si="29"/>
        <v>24.853305778401896</v>
      </c>
      <c r="BI153" s="3">
        <f t="shared" si="30"/>
        <v>30.146694221598104</v>
      </c>
      <c r="BJ153" s="3">
        <f t="shared" si="22"/>
        <v>-0.19308449976339837</v>
      </c>
      <c r="BK153" s="3">
        <f t="shared" si="23"/>
        <v>-0.45609683602320777</v>
      </c>
      <c r="BL153" s="3">
        <f t="shared" si="24"/>
        <v>0.94333424358242735</v>
      </c>
      <c r="BM153" s="3">
        <f t="shared" si="25"/>
        <v>0.27881139484663237</v>
      </c>
      <c r="BN153" s="3">
        <f t="shared" si="26"/>
        <v>52.788113948466325</v>
      </c>
      <c r="BO153" s="2" t="str">
        <f t="shared" si="27"/>
        <v>C+</v>
      </c>
    </row>
    <row r="154" spans="1:67" x14ac:dyDescent="0.35">
      <c r="A154" s="15">
        <v>153</v>
      </c>
      <c r="B154" s="10" t="s">
        <v>172</v>
      </c>
      <c r="C154" s="11">
        <v>30</v>
      </c>
      <c r="D154" s="11">
        <v>1</v>
      </c>
      <c r="E154" s="11">
        <v>1</v>
      </c>
      <c r="F154" s="11">
        <v>1</v>
      </c>
      <c r="G154" s="11">
        <v>1</v>
      </c>
      <c r="H154" s="11">
        <v>1</v>
      </c>
      <c r="I154" s="11">
        <v>1</v>
      </c>
      <c r="J154" s="11">
        <v>1</v>
      </c>
      <c r="K154" s="11">
        <v>1</v>
      </c>
      <c r="L154" s="11">
        <v>1</v>
      </c>
      <c r="M154" s="11">
        <v>1</v>
      </c>
      <c r="N154" s="11">
        <v>0</v>
      </c>
      <c r="O154" s="11">
        <v>1</v>
      </c>
      <c r="P154" s="11">
        <v>0</v>
      </c>
      <c r="Q154" s="11">
        <v>1</v>
      </c>
      <c r="R154" s="11">
        <v>1</v>
      </c>
      <c r="S154" s="11">
        <v>1</v>
      </c>
      <c r="T154" s="11">
        <v>0</v>
      </c>
      <c r="U154" s="11">
        <v>1</v>
      </c>
      <c r="V154" s="11">
        <v>1</v>
      </c>
      <c r="W154" s="11">
        <v>1</v>
      </c>
      <c r="X154" s="11">
        <v>0</v>
      </c>
      <c r="Y154" s="11">
        <v>1</v>
      </c>
      <c r="Z154" s="11">
        <v>1</v>
      </c>
      <c r="AA154" s="11">
        <v>1</v>
      </c>
      <c r="AB154" s="11">
        <v>0</v>
      </c>
      <c r="AC154" s="11">
        <v>1</v>
      </c>
      <c r="AD154" s="11">
        <v>1</v>
      </c>
      <c r="AE154" s="11">
        <v>1</v>
      </c>
      <c r="AF154" s="11">
        <v>1</v>
      </c>
      <c r="AG154" s="11">
        <v>0</v>
      </c>
      <c r="AH154" s="11">
        <v>0</v>
      </c>
      <c r="AI154" s="11">
        <v>1</v>
      </c>
      <c r="AJ154" s="11">
        <v>0</v>
      </c>
      <c r="AK154" s="11">
        <v>0</v>
      </c>
      <c r="AL154" s="11">
        <v>1</v>
      </c>
      <c r="AM154" s="11">
        <v>0</v>
      </c>
      <c r="AN154" s="11">
        <v>0</v>
      </c>
      <c r="AO154" s="11">
        <v>0</v>
      </c>
      <c r="AP154" s="11">
        <v>0</v>
      </c>
      <c r="AQ154" s="11">
        <v>1</v>
      </c>
      <c r="AR154" s="11">
        <v>1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1</v>
      </c>
      <c r="BC154" s="11">
        <v>0</v>
      </c>
      <c r="BD154" s="11">
        <v>0</v>
      </c>
      <c r="BE154" s="11">
        <v>0</v>
      </c>
      <c r="BF154" s="11">
        <v>1</v>
      </c>
      <c r="BG154" s="5">
        <f t="shared" si="28"/>
        <v>96.853698211723724</v>
      </c>
      <c r="BH154" s="3">
        <f t="shared" si="29"/>
        <v>24.734354381760898</v>
      </c>
      <c r="BI154" s="3">
        <f t="shared" si="30"/>
        <v>30.265645618239102</v>
      </c>
      <c r="BJ154" s="3">
        <f t="shared" si="22"/>
        <v>-0.2018201183553183</v>
      </c>
      <c r="BK154" s="3">
        <f t="shared" si="23"/>
        <v>-0.45609683602320777</v>
      </c>
      <c r="BL154" s="3">
        <f t="shared" si="24"/>
        <v>0.94333424358242735</v>
      </c>
      <c r="BM154" s="3">
        <f t="shared" si="25"/>
        <v>0.26955103071658093</v>
      </c>
      <c r="BN154" s="3">
        <f t="shared" si="26"/>
        <v>52.695510307165812</v>
      </c>
      <c r="BO154" s="2" t="str">
        <f t="shared" si="27"/>
        <v>C+</v>
      </c>
    </row>
    <row r="155" spans="1:67" x14ac:dyDescent="0.35">
      <c r="A155" s="1">
        <v>154</v>
      </c>
      <c r="B155" s="12">
        <v>7147438</v>
      </c>
      <c r="C155" s="11">
        <v>31</v>
      </c>
      <c r="D155" s="11">
        <v>1</v>
      </c>
      <c r="E155" s="11">
        <v>1</v>
      </c>
      <c r="F155" s="11">
        <v>1</v>
      </c>
      <c r="G155" s="11">
        <v>1</v>
      </c>
      <c r="H155" s="11">
        <v>1</v>
      </c>
      <c r="I155" s="11">
        <v>1</v>
      </c>
      <c r="J155" s="11">
        <v>1</v>
      </c>
      <c r="K155" s="11">
        <v>1</v>
      </c>
      <c r="L155" s="11">
        <v>1</v>
      </c>
      <c r="M155" s="11">
        <v>1</v>
      </c>
      <c r="N155" s="11">
        <v>1</v>
      </c>
      <c r="O155" s="11">
        <v>1</v>
      </c>
      <c r="P155" s="11">
        <v>1</v>
      </c>
      <c r="Q155" s="11">
        <v>1</v>
      </c>
      <c r="R155" s="11">
        <v>1</v>
      </c>
      <c r="S155" s="11">
        <v>1</v>
      </c>
      <c r="T155" s="11">
        <v>1</v>
      </c>
      <c r="U155" s="11">
        <v>0</v>
      </c>
      <c r="V155" s="11">
        <v>1</v>
      </c>
      <c r="W155" s="11">
        <v>1</v>
      </c>
      <c r="X155" s="11">
        <v>1</v>
      </c>
      <c r="Y155" s="11">
        <v>1</v>
      </c>
      <c r="Z155" s="11">
        <v>1</v>
      </c>
      <c r="AA155" s="11">
        <v>0</v>
      </c>
      <c r="AB155" s="11">
        <v>0</v>
      </c>
      <c r="AC155" s="11">
        <v>1</v>
      </c>
      <c r="AD155" s="11">
        <v>0</v>
      </c>
      <c r="AE155" s="11">
        <v>0</v>
      </c>
      <c r="AF155" s="11">
        <v>1</v>
      </c>
      <c r="AG155" s="11">
        <v>1</v>
      </c>
      <c r="AH155" s="11">
        <v>1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1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1</v>
      </c>
      <c r="BB155" s="11">
        <v>1</v>
      </c>
      <c r="BC155" s="11">
        <v>1</v>
      </c>
      <c r="BD155" s="11">
        <v>1</v>
      </c>
      <c r="BE155" s="11">
        <v>0</v>
      </c>
      <c r="BF155" s="11">
        <v>0</v>
      </c>
      <c r="BG155" s="5">
        <f t="shared" si="28"/>
        <v>96.548441197132988</v>
      </c>
      <c r="BH155" s="3">
        <f t="shared" si="29"/>
        <v>24.656398296285456</v>
      </c>
      <c r="BI155" s="3">
        <f t="shared" si="30"/>
        <v>30.343601703714544</v>
      </c>
      <c r="BJ155" s="3">
        <f t="shared" si="22"/>
        <v>-0.20754924568986285</v>
      </c>
      <c r="BK155" s="3">
        <f t="shared" si="23"/>
        <v>-0.45609683602320777</v>
      </c>
      <c r="BL155" s="3">
        <f t="shared" si="24"/>
        <v>0.94333424358242735</v>
      </c>
      <c r="BM155" s="3">
        <f t="shared" si="25"/>
        <v>0.26347775671691404</v>
      </c>
      <c r="BN155" s="3">
        <f t="shared" si="26"/>
        <v>52.634777567169138</v>
      </c>
      <c r="BO155" s="2" t="str">
        <f t="shared" si="27"/>
        <v>C+</v>
      </c>
    </row>
    <row r="156" spans="1:67" x14ac:dyDescent="0.35">
      <c r="A156" s="15">
        <v>155</v>
      </c>
      <c r="B156" s="10" t="s">
        <v>173</v>
      </c>
      <c r="C156" s="11">
        <v>29</v>
      </c>
      <c r="D156" s="11">
        <v>1</v>
      </c>
      <c r="E156" s="11">
        <v>1</v>
      </c>
      <c r="F156" s="11">
        <v>0</v>
      </c>
      <c r="G156" s="11">
        <v>0</v>
      </c>
      <c r="H156" s="11">
        <v>1</v>
      </c>
      <c r="I156" s="11">
        <v>0</v>
      </c>
      <c r="J156" s="11">
        <v>1</v>
      </c>
      <c r="K156" s="11">
        <v>1</v>
      </c>
      <c r="L156" s="11">
        <v>1</v>
      </c>
      <c r="M156" s="11">
        <v>1</v>
      </c>
      <c r="N156" s="11">
        <v>0</v>
      </c>
      <c r="O156" s="11">
        <v>1</v>
      </c>
      <c r="P156" s="11">
        <v>1</v>
      </c>
      <c r="Q156" s="11">
        <v>1</v>
      </c>
      <c r="R156" s="11">
        <v>1</v>
      </c>
      <c r="S156" s="11">
        <v>1</v>
      </c>
      <c r="T156" s="11">
        <v>1</v>
      </c>
      <c r="U156" s="11">
        <v>0</v>
      </c>
      <c r="V156" s="11">
        <v>1</v>
      </c>
      <c r="W156" s="11">
        <v>1</v>
      </c>
      <c r="X156" s="11">
        <v>1</v>
      </c>
      <c r="Y156" s="11">
        <v>1</v>
      </c>
      <c r="Z156" s="11">
        <v>0</v>
      </c>
      <c r="AA156" s="11">
        <v>1</v>
      </c>
      <c r="AB156" s="11">
        <v>0</v>
      </c>
      <c r="AC156" s="11">
        <v>1</v>
      </c>
      <c r="AD156" s="11">
        <v>0</v>
      </c>
      <c r="AE156" s="11">
        <v>1</v>
      </c>
      <c r="AF156" s="11">
        <v>1</v>
      </c>
      <c r="AG156" s="11">
        <v>1</v>
      </c>
      <c r="AH156" s="11">
        <v>1</v>
      </c>
      <c r="AI156" s="11">
        <v>0</v>
      </c>
      <c r="AJ156" s="11">
        <v>0</v>
      </c>
      <c r="AK156" s="11">
        <v>0</v>
      </c>
      <c r="AL156" s="11">
        <v>0</v>
      </c>
      <c r="AM156" s="11">
        <v>1</v>
      </c>
      <c r="AN156" s="11">
        <v>0</v>
      </c>
      <c r="AO156" s="11">
        <v>0</v>
      </c>
      <c r="AP156" s="11">
        <v>0</v>
      </c>
      <c r="AQ156" s="11">
        <v>1</v>
      </c>
      <c r="AR156" s="11">
        <v>1</v>
      </c>
      <c r="AS156" s="11">
        <v>1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1</v>
      </c>
      <c r="BB156" s="11">
        <v>1</v>
      </c>
      <c r="BC156" s="11">
        <v>0</v>
      </c>
      <c r="BD156" s="11">
        <v>0</v>
      </c>
      <c r="BE156" s="11">
        <v>0</v>
      </c>
      <c r="BF156" s="11">
        <v>0</v>
      </c>
      <c r="BG156" s="5">
        <f t="shared" si="28"/>
        <v>96.185031572295685</v>
      </c>
      <c r="BH156" s="3">
        <f t="shared" si="29"/>
        <v>24.563591283105442</v>
      </c>
      <c r="BI156" s="3">
        <f t="shared" si="30"/>
        <v>30.436408716894558</v>
      </c>
      <c r="BJ156" s="3">
        <f t="shared" si="22"/>
        <v>-0.21437422948508589</v>
      </c>
      <c r="BK156" s="3">
        <f t="shared" si="23"/>
        <v>-0.45609683602320777</v>
      </c>
      <c r="BL156" s="3">
        <f t="shared" si="24"/>
        <v>0.94333424358242735</v>
      </c>
      <c r="BM156" s="3">
        <f t="shared" si="25"/>
        <v>0.25624279854418375</v>
      </c>
      <c r="BN156" s="3">
        <f t="shared" si="26"/>
        <v>52.562427985441836</v>
      </c>
      <c r="BO156" s="2" t="str">
        <f t="shared" si="27"/>
        <v>C+</v>
      </c>
    </row>
    <row r="157" spans="1:67" x14ac:dyDescent="0.35">
      <c r="A157" s="15">
        <v>156</v>
      </c>
      <c r="B157" s="10" t="s">
        <v>174</v>
      </c>
      <c r="C157" s="11">
        <v>28</v>
      </c>
      <c r="D157" s="11">
        <v>0</v>
      </c>
      <c r="E157" s="11">
        <v>1</v>
      </c>
      <c r="F157" s="11">
        <v>0</v>
      </c>
      <c r="G157" s="11">
        <v>1</v>
      </c>
      <c r="H157" s="11">
        <v>1</v>
      </c>
      <c r="I157" s="11">
        <v>1</v>
      </c>
      <c r="J157" s="11">
        <v>1</v>
      </c>
      <c r="K157" s="11">
        <v>1</v>
      </c>
      <c r="L157" s="11">
        <v>0</v>
      </c>
      <c r="M157" s="11">
        <v>1</v>
      </c>
      <c r="N157" s="11">
        <v>1</v>
      </c>
      <c r="O157" s="11">
        <v>1</v>
      </c>
      <c r="P157" s="11">
        <v>0</v>
      </c>
      <c r="Q157" s="11">
        <v>1</v>
      </c>
      <c r="R157" s="11">
        <v>1</v>
      </c>
      <c r="S157" s="11">
        <v>1</v>
      </c>
      <c r="T157" s="11">
        <v>1</v>
      </c>
      <c r="U157" s="11">
        <v>0</v>
      </c>
      <c r="V157" s="11">
        <v>0</v>
      </c>
      <c r="W157" s="11">
        <v>0</v>
      </c>
      <c r="X157" s="11">
        <v>0</v>
      </c>
      <c r="Y157" s="11">
        <v>1</v>
      </c>
      <c r="Z157" s="11">
        <v>0</v>
      </c>
      <c r="AA157" s="11">
        <v>0</v>
      </c>
      <c r="AB157" s="11">
        <v>0</v>
      </c>
      <c r="AC157" s="11">
        <v>1</v>
      </c>
      <c r="AD157" s="11">
        <v>1</v>
      </c>
      <c r="AE157" s="11">
        <v>1</v>
      </c>
      <c r="AF157" s="11">
        <v>0</v>
      </c>
      <c r="AG157" s="11">
        <v>0</v>
      </c>
      <c r="AH157" s="11">
        <v>1</v>
      </c>
      <c r="AI157" s="11">
        <v>0</v>
      </c>
      <c r="AJ157" s="11">
        <v>1</v>
      </c>
      <c r="AK157" s="11">
        <v>1</v>
      </c>
      <c r="AL157" s="11">
        <v>1</v>
      </c>
      <c r="AM157" s="11">
        <v>1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1</v>
      </c>
      <c r="AX157" s="11">
        <v>1</v>
      </c>
      <c r="AY157" s="11">
        <v>0</v>
      </c>
      <c r="AZ157" s="11">
        <v>0</v>
      </c>
      <c r="BA157" s="11">
        <v>1</v>
      </c>
      <c r="BB157" s="11">
        <v>1</v>
      </c>
      <c r="BC157" s="11">
        <v>1</v>
      </c>
      <c r="BD157" s="11">
        <v>1</v>
      </c>
      <c r="BE157" s="11">
        <v>0</v>
      </c>
      <c r="BF157" s="11">
        <v>0</v>
      </c>
      <c r="BG157" s="5">
        <f t="shared" si="28"/>
        <v>95.276384489263378</v>
      </c>
      <c r="BH157" s="3">
        <f t="shared" si="29"/>
        <v>24.331542333249711</v>
      </c>
      <c r="BI157" s="3">
        <f t="shared" si="30"/>
        <v>30.668457666750289</v>
      </c>
      <c r="BJ157" s="3">
        <f t="shared" si="22"/>
        <v>-0.23146114182392566</v>
      </c>
      <c r="BK157" s="3">
        <f t="shared" si="23"/>
        <v>-0.45609683602320777</v>
      </c>
      <c r="BL157" s="3">
        <f t="shared" si="24"/>
        <v>0.94333424358242735</v>
      </c>
      <c r="BM157" s="3">
        <f t="shared" si="25"/>
        <v>0.23812948138742482</v>
      </c>
      <c r="BN157" s="3">
        <f t="shared" si="26"/>
        <v>52.381294813874248</v>
      </c>
      <c r="BO157" s="2" t="str">
        <f t="shared" si="27"/>
        <v>C+</v>
      </c>
    </row>
    <row r="158" spans="1:67" x14ac:dyDescent="0.35">
      <c r="A158" s="1">
        <v>157</v>
      </c>
      <c r="B158" s="10" t="s">
        <v>175</v>
      </c>
      <c r="C158" s="11">
        <v>29</v>
      </c>
      <c r="D158" s="11">
        <v>1</v>
      </c>
      <c r="E158" s="11">
        <v>1</v>
      </c>
      <c r="F158" s="11">
        <v>1</v>
      </c>
      <c r="G158" s="11">
        <v>1</v>
      </c>
      <c r="H158" s="11">
        <v>1</v>
      </c>
      <c r="I158" s="11">
        <v>0</v>
      </c>
      <c r="J158" s="11">
        <v>1</v>
      </c>
      <c r="K158" s="11">
        <v>1</v>
      </c>
      <c r="L158" s="11">
        <v>1</v>
      </c>
      <c r="M158" s="11">
        <v>1</v>
      </c>
      <c r="N158" s="11">
        <v>0</v>
      </c>
      <c r="O158" s="11">
        <v>1</v>
      </c>
      <c r="P158" s="11">
        <v>0</v>
      </c>
      <c r="Q158" s="11">
        <v>1</v>
      </c>
      <c r="R158" s="11">
        <v>1</v>
      </c>
      <c r="S158" s="11">
        <v>0</v>
      </c>
      <c r="T158" s="11">
        <v>0</v>
      </c>
      <c r="U158" s="11">
        <v>1</v>
      </c>
      <c r="V158" s="11">
        <v>1</v>
      </c>
      <c r="W158" s="11">
        <v>0</v>
      </c>
      <c r="X158" s="11">
        <v>0</v>
      </c>
      <c r="Y158" s="11">
        <v>1</v>
      </c>
      <c r="Z158" s="11">
        <v>1</v>
      </c>
      <c r="AA158" s="11">
        <v>1</v>
      </c>
      <c r="AB158" s="11">
        <v>0</v>
      </c>
      <c r="AC158" s="11">
        <v>1</v>
      </c>
      <c r="AD158" s="11">
        <v>1</v>
      </c>
      <c r="AE158" s="11">
        <v>0</v>
      </c>
      <c r="AF158" s="11">
        <v>1</v>
      </c>
      <c r="AG158" s="11">
        <v>1</v>
      </c>
      <c r="AH158" s="11">
        <v>0</v>
      </c>
      <c r="AI158" s="11">
        <v>0</v>
      </c>
      <c r="AJ158" s="11">
        <v>1</v>
      </c>
      <c r="AK158" s="11">
        <v>1</v>
      </c>
      <c r="AL158" s="11">
        <v>1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1</v>
      </c>
      <c r="AZ158" s="11">
        <v>0</v>
      </c>
      <c r="BA158" s="11">
        <v>1</v>
      </c>
      <c r="BB158" s="11">
        <v>1</v>
      </c>
      <c r="BC158" s="11">
        <v>1</v>
      </c>
      <c r="BD158" s="11">
        <v>1</v>
      </c>
      <c r="BE158" s="11">
        <v>0</v>
      </c>
      <c r="BF158" s="11">
        <v>0</v>
      </c>
      <c r="BG158" s="5">
        <f t="shared" si="28"/>
        <v>94.738820386211572</v>
      </c>
      <c r="BH158" s="3">
        <f t="shared" si="29"/>
        <v>24.194260006675758</v>
      </c>
      <c r="BI158" s="3">
        <f t="shared" si="30"/>
        <v>30.805739993324242</v>
      </c>
      <c r="BJ158" s="3">
        <f t="shared" si="22"/>
        <v>-0.2415856208137393</v>
      </c>
      <c r="BK158" s="3">
        <f t="shared" si="23"/>
        <v>-0.45609683602320777</v>
      </c>
      <c r="BL158" s="3">
        <f t="shared" si="24"/>
        <v>0.94333424358242735</v>
      </c>
      <c r="BM158" s="3">
        <f t="shared" si="25"/>
        <v>0.22739682850358092</v>
      </c>
      <c r="BN158" s="3">
        <f t="shared" si="26"/>
        <v>52.273968285035807</v>
      </c>
      <c r="BO158" s="2" t="str">
        <f t="shared" si="27"/>
        <v>C+</v>
      </c>
    </row>
    <row r="159" spans="1:67" x14ac:dyDescent="0.35">
      <c r="A159" s="15">
        <v>158</v>
      </c>
      <c r="B159" s="10" t="s">
        <v>176</v>
      </c>
      <c r="C159" s="11">
        <v>30</v>
      </c>
      <c r="D159" s="11">
        <v>1</v>
      </c>
      <c r="E159" s="11">
        <v>1</v>
      </c>
      <c r="F159" s="11">
        <v>1</v>
      </c>
      <c r="G159" s="11">
        <v>1</v>
      </c>
      <c r="H159" s="11">
        <v>1</v>
      </c>
      <c r="I159" s="11">
        <v>1</v>
      </c>
      <c r="J159" s="11">
        <v>1</v>
      </c>
      <c r="K159" s="11">
        <v>1</v>
      </c>
      <c r="L159" s="11">
        <v>1</v>
      </c>
      <c r="M159" s="11">
        <v>1</v>
      </c>
      <c r="N159" s="11">
        <v>1</v>
      </c>
      <c r="O159" s="11">
        <v>1</v>
      </c>
      <c r="P159" s="11">
        <v>1</v>
      </c>
      <c r="Q159" s="11">
        <v>1</v>
      </c>
      <c r="R159" s="11">
        <v>1</v>
      </c>
      <c r="S159" s="11">
        <v>1</v>
      </c>
      <c r="T159" s="11">
        <v>1</v>
      </c>
      <c r="U159" s="11">
        <v>1</v>
      </c>
      <c r="V159" s="11">
        <v>1</v>
      </c>
      <c r="W159" s="11">
        <v>0</v>
      </c>
      <c r="X159" s="11">
        <v>1</v>
      </c>
      <c r="Y159" s="11">
        <v>1</v>
      </c>
      <c r="Z159" s="11">
        <v>0</v>
      </c>
      <c r="AA159" s="11">
        <v>0</v>
      </c>
      <c r="AB159" s="11">
        <v>0</v>
      </c>
      <c r="AC159" s="11">
        <v>1</v>
      </c>
      <c r="AD159" s="11">
        <v>0</v>
      </c>
      <c r="AE159" s="11">
        <v>0</v>
      </c>
      <c r="AF159" s="11">
        <v>1</v>
      </c>
      <c r="AG159" s="11">
        <v>0</v>
      </c>
      <c r="AH159" s="11">
        <v>1</v>
      </c>
      <c r="AI159" s="11">
        <v>0</v>
      </c>
      <c r="AJ159" s="11">
        <v>1</v>
      </c>
      <c r="AK159" s="11">
        <v>1</v>
      </c>
      <c r="AL159" s="11">
        <v>1</v>
      </c>
      <c r="AM159" s="11">
        <v>0</v>
      </c>
      <c r="AN159" s="11">
        <v>0</v>
      </c>
      <c r="AO159" s="11">
        <v>1</v>
      </c>
      <c r="AP159" s="11">
        <v>1</v>
      </c>
      <c r="AQ159" s="11">
        <v>0</v>
      </c>
      <c r="AR159" s="11">
        <v>0</v>
      </c>
      <c r="AS159" s="11">
        <v>0</v>
      </c>
      <c r="AT159" s="11">
        <v>1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5">
        <f t="shared" si="28"/>
        <v>93.97868785287335</v>
      </c>
      <c r="BH159" s="3">
        <f t="shared" si="29"/>
        <v>24.000138483142468</v>
      </c>
      <c r="BI159" s="3">
        <f t="shared" si="30"/>
        <v>30.999861516857532</v>
      </c>
      <c r="BJ159" s="3">
        <f t="shared" si="22"/>
        <v>-0.25592313681478945</v>
      </c>
      <c r="BK159" s="3">
        <f t="shared" si="23"/>
        <v>-0.45609683602320777</v>
      </c>
      <c r="BL159" s="3">
        <f t="shared" si="24"/>
        <v>0.94333424358242735</v>
      </c>
      <c r="BM159" s="3">
        <f t="shared" si="25"/>
        <v>0.21219806295617361</v>
      </c>
      <c r="BN159" s="3">
        <f t="shared" si="26"/>
        <v>52.121980629561733</v>
      </c>
      <c r="BO159" s="2" t="str">
        <f t="shared" si="27"/>
        <v>C+</v>
      </c>
    </row>
    <row r="160" spans="1:67" x14ac:dyDescent="0.35">
      <c r="A160" s="15">
        <v>159</v>
      </c>
      <c r="B160" s="10" t="s">
        <v>177</v>
      </c>
      <c r="C160" s="11">
        <v>29</v>
      </c>
      <c r="D160" s="11">
        <v>1</v>
      </c>
      <c r="E160" s="11">
        <v>1</v>
      </c>
      <c r="F160" s="11">
        <v>1</v>
      </c>
      <c r="G160" s="11">
        <v>1</v>
      </c>
      <c r="H160" s="11">
        <v>1</v>
      </c>
      <c r="I160" s="11">
        <v>0</v>
      </c>
      <c r="J160" s="11">
        <v>1</v>
      </c>
      <c r="K160" s="11">
        <v>1</v>
      </c>
      <c r="L160" s="11">
        <v>1</v>
      </c>
      <c r="M160" s="11">
        <v>1</v>
      </c>
      <c r="N160" s="11">
        <v>1</v>
      </c>
      <c r="O160" s="11">
        <v>1</v>
      </c>
      <c r="P160" s="11">
        <v>1</v>
      </c>
      <c r="Q160" s="11">
        <v>1</v>
      </c>
      <c r="R160" s="11">
        <v>0</v>
      </c>
      <c r="S160" s="11">
        <v>0</v>
      </c>
      <c r="T160" s="11">
        <v>1</v>
      </c>
      <c r="U160" s="11">
        <v>1</v>
      </c>
      <c r="V160" s="11">
        <v>1</v>
      </c>
      <c r="W160" s="11">
        <v>0</v>
      </c>
      <c r="X160" s="11">
        <v>1</v>
      </c>
      <c r="Y160" s="11">
        <v>1</v>
      </c>
      <c r="Z160" s="11">
        <v>1</v>
      </c>
      <c r="AA160" s="11">
        <v>0</v>
      </c>
      <c r="AB160" s="11">
        <v>0</v>
      </c>
      <c r="AC160" s="11">
        <v>1</v>
      </c>
      <c r="AD160" s="11">
        <v>0</v>
      </c>
      <c r="AE160" s="11">
        <v>0</v>
      </c>
      <c r="AF160" s="11">
        <v>1</v>
      </c>
      <c r="AG160" s="11">
        <v>1</v>
      </c>
      <c r="AH160" s="11">
        <v>1</v>
      </c>
      <c r="AI160" s="11">
        <v>1</v>
      </c>
      <c r="AJ160" s="11">
        <v>0</v>
      </c>
      <c r="AK160" s="11">
        <v>0</v>
      </c>
      <c r="AL160" s="11">
        <v>0</v>
      </c>
      <c r="AM160" s="11">
        <v>1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1</v>
      </c>
      <c r="AU160" s="11">
        <v>1</v>
      </c>
      <c r="AV160" s="11">
        <v>1</v>
      </c>
      <c r="AW160" s="11">
        <v>0</v>
      </c>
      <c r="AX160" s="11">
        <v>0</v>
      </c>
      <c r="AY160" s="11">
        <v>0</v>
      </c>
      <c r="AZ160" s="11">
        <v>1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5">
        <f t="shared" si="28"/>
        <v>92.939157769354438</v>
      </c>
      <c r="BH160" s="3">
        <f t="shared" si="29"/>
        <v>23.73466482595644</v>
      </c>
      <c r="BI160" s="3">
        <f t="shared" si="30"/>
        <v>31.26533517404356</v>
      </c>
      <c r="BJ160" s="3">
        <f t="shared" si="22"/>
        <v>-0.27557335099197289</v>
      </c>
      <c r="BK160" s="3">
        <f t="shared" si="23"/>
        <v>-0.45609683602320777</v>
      </c>
      <c r="BL160" s="3">
        <f t="shared" si="24"/>
        <v>0.94333424358242735</v>
      </c>
      <c r="BM160" s="3">
        <f t="shared" si="25"/>
        <v>0.19136746732067611</v>
      </c>
      <c r="BN160" s="3">
        <f t="shared" si="26"/>
        <v>51.913674673206764</v>
      </c>
      <c r="BO160" s="2" t="str">
        <f t="shared" si="27"/>
        <v>C+</v>
      </c>
    </row>
    <row r="161" spans="1:67" x14ac:dyDescent="0.35">
      <c r="A161" s="1">
        <v>160</v>
      </c>
      <c r="B161" s="10" t="s">
        <v>178</v>
      </c>
      <c r="C161" s="11">
        <v>30</v>
      </c>
      <c r="D161" s="11">
        <v>1</v>
      </c>
      <c r="E161" s="11">
        <v>1</v>
      </c>
      <c r="F161" s="11">
        <v>1</v>
      </c>
      <c r="G161" s="11">
        <v>1</v>
      </c>
      <c r="H161" s="11">
        <v>1</v>
      </c>
      <c r="I161" s="11">
        <v>1</v>
      </c>
      <c r="J161" s="11">
        <v>1</v>
      </c>
      <c r="K161" s="11">
        <v>1</v>
      </c>
      <c r="L161" s="11">
        <v>1</v>
      </c>
      <c r="M161" s="11">
        <v>1</v>
      </c>
      <c r="N161" s="11">
        <v>1</v>
      </c>
      <c r="O161" s="11">
        <v>1</v>
      </c>
      <c r="P161" s="11">
        <v>0</v>
      </c>
      <c r="Q161" s="11">
        <v>1</v>
      </c>
      <c r="R161" s="11">
        <v>1</v>
      </c>
      <c r="S161" s="11">
        <v>1</v>
      </c>
      <c r="T161" s="11">
        <v>1</v>
      </c>
      <c r="U161" s="11">
        <v>0</v>
      </c>
      <c r="V161" s="11">
        <v>1</v>
      </c>
      <c r="W161" s="11">
        <v>1</v>
      </c>
      <c r="X161" s="11">
        <v>0</v>
      </c>
      <c r="Y161" s="11">
        <v>1</v>
      </c>
      <c r="Z161" s="11">
        <v>1</v>
      </c>
      <c r="AA161" s="11">
        <v>0</v>
      </c>
      <c r="AB161" s="11">
        <v>0</v>
      </c>
      <c r="AC161" s="11">
        <v>1</v>
      </c>
      <c r="AD161" s="11">
        <v>1</v>
      </c>
      <c r="AE161" s="11">
        <v>0</v>
      </c>
      <c r="AF161" s="11">
        <v>1</v>
      </c>
      <c r="AG161" s="11">
        <v>1</v>
      </c>
      <c r="AH161" s="11">
        <v>0</v>
      </c>
      <c r="AI161" s="11">
        <v>0</v>
      </c>
      <c r="AJ161" s="11">
        <v>1</v>
      </c>
      <c r="AK161" s="11">
        <v>1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1</v>
      </c>
      <c r="AR161" s="11">
        <v>1</v>
      </c>
      <c r="AS161" s="11">
        <v>0</v>
      </c>
      <c r="AT161" s="11">
        <v>1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1</v>
      </c>
      <c r="BD161" s="11">
        <v>0</v>
      </c>
      <c r="BE161" s="11">
        <v>0</v>
      </c>
      <c r="BF161" s="11">
        <v>0</v>
      </c>
      <c r="BG161" s="5">
        <f t="shared" si="28"/>
        <v>92.947177526563451</v>
      </c>
      <c r="BH161" s="3">
        <f t="shared" si="29"/>
        <v>23.736712899706081</v>
      </c>
      <c r="BI161" s="3">
        <f t="shared" si="30"/>
        <v>31.263287100293919</v>
      </c>
      <c r="BJ161" s="3">
        <f t="shared" si="22"/>
        <v>-0.27542155595355822</v>
      </c>
      <c r="BK161" s="3">
        <f t="shared" si="23"/>
        <v>-0.45609683602320777</v>
      </c>
      <c r="BL161" s="3">
        <f t="shared" si="24"/>
        <v>0.94333424358242735</v>
      </c>
      <c r="BM161" s="3">
        <f t="shared" si="25"/>
        <v>0.1915283806336904</v>
      </c>
      <c r="BN161" s="3">
        <f t="shared" si="26"/>
        <v>51.915283806336902</v>
      </c>
      <c r="BO161" s="2" t="str">
        <f t="shared" si="27"/>
        <v>C+</v>
      </c>
    </row>
    <row r="162" spans="1:67" x14ac:dyDescent="0.35">
      <c r="A162" s="15">
        <v>161</v>
      </c>
      <c r="B162" s="10" t="s">
        <v>179</v>
      </c>
      <c r="C162" s="11">
        <v>28</v>
      </c>
      <c r="D162" s="11">
        <v>1</v>
      </c>
      <c r="E162" s="11">
        <v>1</v>
      </c>
      <c r="F162" s="11">
        <v>1</v>
      </c>
      <c r="G162" s="11">
        <v>1</v>
      </c>
      <c r="H162" s="11">
        <v>1</v>
      </c>
      <c r="I162" s="11">
        <v>0</v>
      </c>
      <c r="J162" s="11">
        <v>1</v>
      </c>
      <c r="K162" s="11">
        <v>1</v>
      </c>
      <c r="L162" s="11">
        <v>1</v>
      </c>
      <c r="M162" s="11">
        <v>1</v>
      </c>
      <c r="N162" s="11">
        <v>1</v>
      </c>
      <c r="O162" s="11">
        <v>1</v>
      </c>
      <c r="P162" s="11">
        <v>0</v>
      </c>
      <c r="Q162" s="11">
        <v>1</v>
      </c>
      <c r="R162" s="11">
        <v>0</v>
      </c>
      <c r="S162" s="11">
        <v>0</v>
      </c>
      <c r="T162" s="11">
        <v>1</v>
      </c>
      <c r="U162" s="11">
        <v>0</v>
      </c>
      <c r="V162" s="11">
        <v>0</v>
      </c>
      <c r="W162" s="11">
        <v>0</v>
      </c>
      <c r="X162" s="11">
        <v>1</v>
      </c>
      <c r="Y162" s="11">
        <v>1</v>
      </c>
      <c r="Z162" s="11">
        <v>1</v>
      </c>
      <c r="AA162" s="11">
        <v>1</v>
      </c>
      <c r="AB162" s="11">
        <v>0</v>
      </c>
      <c r="AC162" s="11">
        <v>1</v>
      </c>
      <c r="AD162" s="11">
        <v>1</v>
      </c>
      <c r="AE162" s="11">
        <v>1</v>
      </c>
      <c r="AF162" s="11">
        <v>1</v>
      </c>
      <c r="AG162" s="11">
        <v>0</v>
      </c>
      <c r="AH162" s="11">
        <v>0</v>
      </c>
      <c r="AI162" s="11">
        <v>0</v>
      </c>
      <c r="AJ162" s="11">
        <v>0</v>
      </c>
      <c r="AK162" s="11">
        <v>1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1</v>
      </c>
      <c r="AT162" s="11">
        <v>0</v>
      </c>
      <c r="AU162" s="11">
        <v>1</v>
      </c>
      <c r="AV162" s="11">
        <v>0</v>
      </c>
      <c r="AW162" s="11">
        <v>0</v>
      </c>
      <c r="AX162" s="11">
        <v>0</v>
      </c>
      <c r="AY162" s="11">
        <v>1</v>
      </c>
      <c r="AZ162" s="11">
        <v>1</v>
      </c>
      <c r="BA162" s="11">
        <v>1</v>
      </c>
      <c r="BB162" s="11">
        <v>1</v>
      </c>
      <c r="BC162" s="11">
        <v>0</v>
      </c>
      <c r="BD162" s="11">
        <v>0</v>
      </c>
      <c r="BE162" s="11">
        <v>0</v>
      </c>
      <c r="BF162" s="11">
        <v>0</v>
      </c>
      <c r="BG162" s="5">
        <f t="shared" si="28"/>
        <v>92.605104527661581</v>
      </c>
      <c r="BH162" s="3">
        <f t="shared" si="29"/>
        <v>23.649354802540039</v>
      </c>
      <c r="BI162" s="3">
        <f t="shared" si="30"/>
        <v>31.350645197459961</v>
      </c>
      <c r="BJ162" s="3">
        <f t="shared" si="22"/>
        <v>-0.28189901383912219</v>
      </c>
      <c r="BK162" s="3">
        <f t="shared" si="23"/>
        <v>-0.45609683602320777</v>
      </c>
      <c r="BL162" s="3">
        <f t="shared" si="24"/>
        <v>0.94333424358242735</v>
      </c>
      <c r="BM162" s="3">
        <f t="shared" si="25"/>
        <v>0.18466182412985244</v>
      </c>
      <c r="BN162" s="3">
        <f t="shared" si="26"/>
        <v>51.846618241298522</v>
      </c>
      <c r="BO162" s="2" t="str">
        <f t="shared" si="27"/>
        <v>C+</v>
      </c>
    </row>
    <row r="163" spans="1:67" x14ac:dyDescent="0.35">
      <c r="A163" s="15">
        <v>162</v>
      </c>
      <c r="B163" s="12">
        <v>2072007</v>
      </c>
      <c r="C163" s="11">
        <v>29</v>
      </c>
      <c r="D163" s="11">
        <v>1</v>
      </c>
      <c r="E163" s="11">
        <v>1</v>
      </c>
      <c r="F163" s="11">
        <v>1</v>
      </c>
      <c r="G163" s="11">
        <v>1</v>
      </c>
      <c r="H163" s="11">
        <v>1</v>
      </c>
      <c r="I163" s="11">
        <v>0</v>
      </c>
      <c r="J163" s="11">
        <v>1</v>
      </c>
      <c r="K163" s="11">
        <v>1</v>
      </c>
      <c r="L163" s="11">
        <v>1</v>
      </c>
      <c r="M163" s="11">
        <v>1</v>
      </c>
      <c r="N163" s="11">
        <v>0</v>
      </c>
      <c r="O163" s="11">
        <v>1</v>
      </c>
      <c r="P163" s="11">
        <v>1</v>
      </c>
      <c r="Q163" s="11">
        <v>1</v>
      </c>
      <c r="R163" s="11">
        <v>0</v>
      </c>
      <c r="S163" s="11">
        <v>1</v>
      </c>
      <c r="T163" s="11">
        <v>1</v>
      </c>
      <c r="U163" s="11">
        <v>1</v>
      </c>
      <c r="V163" s="11">
        <v>1</v>
      </c>
      <c r="W163" s="11">
        <v>1</v>
      </c>
      <c r="X163" s="11">
        <v>0</v>
      </c>
      <c r="Y163" s="11">
        <v>1</v>
      </c>
      <c r="Z163" s="11">
        <v>1</v>
      </c>
      <c r="AA163" s="11">
        <v>0</v>
      </c>
      <c r="AB163" s="11">
        <v>0</v>
      </c>
      <c r="AC163" s="11">
        <v>1</v>
      </c>
      <c r="AD163" s="11">
        <v>0</v>
      </c>
      <c r="AE163" s="11">
        <v>1</v>
      </c>
      <c r="AF163" s="11">
        <v>0</v>
      </c>
      <c r="AG163" s="11">
        <v>0</v>
      </c>
      <c r="AH163" s="11">
        <v>1</v>
      </c>
      <c r="AI163" s="11">
        <v>1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1</v>
      </c>
      <c r="AS163" s="11">
        <v>0</v>
      </c>
      <c r="AT163" s="11">
        <v>1</v>
      </c>
      <c r="AU163" s="11">
        <v>0</v>
      </c>
      <c r="AV163" s="11">
        <v>0</v>
      </c>
      <c r="AW163" s="11">
        <v>1</v>
      </c>
      <c r="AX163" s="11">
        <v>0</v>
      </c>
      <c r="AY163" s="11">
        <v>0</v>
      </c>
      <c r="AZ163" s="11">
        <v>0</v>
      </c>
      <c r="BA163" s="11">
        <v>1</v>
      </c>
      <c r="BB163" s="11">
        <v>1</v>
      </c>
      <c r="BC163" s="11">
        <v>1</v>
      </c>
      <c r="BD163" s="11">
        <v>0</v>
      </c>
      <c r="BE163" s="11">
        <v>0</v>
      </c>
      <c r="BF163" s="11">
        <v>0</v>
      </c>
      <c r="BG163" s="5">
        <f t="shared" si="28"/>
        <v>91.956992751820266</v>
      </c>
      <c r="BH163" s="3">
        <f t="shared" si="29"/>
        <v>23.483840974584719</v>
      </c>
      <c r="BI163" s="3">
        <f t="shared" si="30"/>
        <v>31.516159025415281</v>
      </c>
      <c r="BJ163" s="3">
        <f t="shared" si="22"/>
        <v>-0.29418783270403631</v>
      </c>
      <c r="BK163" s="3">
        <f t="shared" si="23"/>
        <v>-0.45609683602320777</v>
      </c>
      <c r="BL163" s="3">
        <f t="shared" si="24"/>
        <v>0.94333424358242735</v>
      </c>
      <c r="BM163" s="3">
        <f t="shared" si="25"/>
        <v>0.17163482023540477</v>
      </c>
      <c r="BN163" s="3">
        <f t="shared" si="26"/>
        <v>51.716348202354048</v>
      </c>
      <c r="BO163" s="2" t="str">
        <f t="shared" si="27"/>
        <v>C+</v>
      </c>
    </row>
    <row r="164" spans="1:67" x14ac:dyDescent="0.35">
      <c r="A164" s="1">
        <v>163</v>
      </c>
      <c r="B164" s="12">
        <v>8892210</v>
      </c>
      <c r="C164" s="11">
        <v>29</v>
      </c>
      <c r="D164" s="11">
        <v>1</v>
      </c>
      <c r="E164" s="11">
        <v>1</v>
      </c>
      <c r="F164" s="11">
        <v>1</v>
      </c>
      <c r="G164" s="11">
        <v>1</v>
      </c>
      <c r="H164" s="11">
        <v>1</v>
      </c>
      <c r="I164" s="11">
        <v>1</v>
      </c>
      <c r="J164" s="11">
        <v>1</v>
      </c>
      <c r="K164" s="11">
        <v>1</v>
      </c>
      <c r="L164" s="11">
        <v>1</v>
      </c>
      <c r="M164" s="11">
        <v>1</v>
      </c>
      <c r="N164" s="11">
        <v>1</v>
      </c>
      <c r="O164" s="11">
        <v>0</v>
      </c>
      <c r="P164" s="11">
        <v>1</v>
      </c>
      <c r="Q164" s="11">
        <v>1</v>
      </c>
      <c r="R164" s="11">
        <v>1</v>
      </c>
      <c r="S164" s="11">
        <v>1</v>
      </c>
      <c r="T164" s="11">
        <v>1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1</v>
      </c>
      <c r="AA164" s="11">
        <v>0</v>
      </c>
      <c r="AB164" s="11">
        <v>0</v>
      </c>
      <c r="AC164" s="11">
        <v>1</v>
      </c>
      <c r="AD164" s="11">
        <v>1</v>
      </c>
      <c r="AE164" s="11">
        <v>1</v>
      </c>
      <c r="AF164" s="11">
        <v>1</v>
      </c>
      <c r="AG164" s="11">
        <v>1</v>
      </c>
      <c r="AH164" s="11">
        <v>1</v>
      </c>
      <c r="AI164" s="11">
        <v>1</v>
      </c>
      <c r="AJ164" s="11">
        <v>0</v>
      </c>
      <c r="AK164" s="11">
        <v>1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1</v>
      </c>
      <c r="AX164" s="11">
        <v>0</v>
      </c>
      <c r="AY164" s="11">
        <v>0</v>
      </c>
      <c r="AZ164" s="11">
        <v>0</v>
      </c>
      <c r="BA164" s="11">
        <v>1</v>
      </c>
      <c r="BB164" s="11">
        <v>1</v>
      </c>
      <c r="BC164" s="11">
        <v>1</v>
      </c>
      <c r="BD164" s="11">
        <v>0</v>
      </c>
      <c r="BE164" s="11">
        <v>0</v>
      </c>
      <c r="BF164" s="11">
        <v>0</v>
      </c>
      <c r="BG164" s="5">
        <f t="shared" si="28"/>
        <v>91.468258770315529</v>
      </c>
      <c r="BH164" s="3">
        <f t="shared" si="29"/>
        <v>23.359028812321991</v>
      </c>
      <c r="BI164" s="3">
        <f t="shared" si="30"/>
        <v>31.640971187678009</v>
      </c>
      <c r="BJ164" s="3">
        <f t="shared" si="22"/>
        <v>-0.30346925508052008</v>
      </c>
      <c r="BK164" s="3">
        <f t="shared" si="23"/>
        <v>-0.45609683602320777</v>
      </c>
      <c r="BL164" s="3">
        <f t="shared" si="24"/>
        <v>0.94333424358242735</v>
      </c>
      <c r="BM164" s="3">
        <f t="shared" si="25"/>
        <v>0.16179586607930796</v>
      </c>
      <c r="BN164" s="3">
        <f t="shared" si="26"/>
        <v>51.617958660793079</v>
      </c>
      <c r="BO164" s="2" t="str">
        <f t="shared" si="27"/>
        <v>C+</v>
      </c>
    </row>
    <row r="165" spans="1:67" x14ac:dyDescent="0.35">
      <c r="A165" s="15">
        <v>164</v>
      </c>
      <c r="B165" s="10" t="s">
        <v>180</v>
      </c>
      <c r="C165" s="11">
        <v>28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  <c r="I165" s="11">
        <v>0</v>
      </c>
      <c r="J165" s="11">
        <v>1</v>
      </c>
      <c r="K165" s="11">
        <v>1</v>
      </c>
      <c r="L165" s="11">
        <v>1</v>
      </c>
      <c r="M165" s="11">
        <v>1</v>
      </c>
      <c r="N165" s="11">
        <v>1</v>
      </c>
      <c r="O165" s="11">
        <v>1</v>
      </c>
      <c r="P165" s="11">
        <v>0</v>
      </c>
      <c r="Q165" s="11">
        <v>1</v>
      </c>
      <c r="R165" s="11">
        <v>1</v>
      </c>
      <c r="S165" s="11">
        <v>1</v>
      </c>
      <c r="T165" s="11">
        <v>1</v>
      </c>
      <c r="U165" s="11">
        <v>1</v>
      </c>
      <c r="V165" s="11">
        <v>1</v>
      </c>
      <c r="W165" s="11">
        <v>0</v>
      </c>
      <c r="X165" s="11">
        <v>0</v>
      </c>
      <c r="Y165" s="11">
        <v>0</v>
      </c>
      <c r="Z165" s="11">
        <v>1</v>
      </c>
      <c r="AA165" s="11">
        <v>0</v>
      </c>
      <c r="AB165" s="11">
        <v>1</v>
      </c>
      <c r="AC165" s="11">
        <v>1</v>
      </c>
      <c r="AD165" s="11">
        <v>0</v>
      </c>
      <c r="AE165" s="11">
        <v>1</v>
      </c>
      <c r="AF165" s="11">
        <v>0</v>
      </c>
      <c r="AG165" s="11">
        <v>0</v>
      </c>
      <c r="AH165" s="11">
        <v>1</v>
      </c>
      <c r="AI165" s="11">
        <v>0</v>
      </c>
      <c r="AJ165" s="11">
        <v>0</v>
      </c>
      <c r="AK165" s="11">
        <v>0</v>
      </c>
      <c r="AL165" s="11">
        <v>0</v>
      </c>
      <c r="AM165" s="11">
        <v>1</v>
      </c>
      <c r="AN165" s="11">
        <v>1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1</v>
      </c>
      <c r="AU165" s="11">
        <v>1</v>
      </c>
      <c r="AV165" s="11">
        <v>1</v>
      </c>
      <c r="AW165" s="11">
        <v>0</v>
      </c>
      <c r="AX165" s="11">
        <v>0</v>
      </c>
      <c r="AY165" s="11">
        <v>0</v>
      </c>
      <c r="AZ165" s="11">
        <v>1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5">
        <f t="shared" si="28"/>
        <v>91.252923372603448</v>
      </c>
      <c r="BH165" s="3">
        <f t="shared" si="29"/>
        <v>23.304036776537206</v>
      </c>
      <c r="BI165" s="3">
        <f t="shared" si="30"/>
        <v>31.695963223462794</v>
      </c>
      <c r="BJ165" s="3">
        <f t="shared" si="22"/>
        <v>-0.30756273188886279</v>
      </c>
      <c r="BK165" s="3">
        <f t="shared" si="23"/>
        <v>-0.45609683602320777</v>
      </c>
      <c r="BL165" s="3">
        <f t="shared" si="24"/>
        <v>0.94333424358242735</v>
      </c>
      <c r="BM165" s="3">
        <f t="shared" si="25"/>
        <v>0.15745649555799918</v>
      </c>
      <c r="BN165" s="3">
        <f t="shared" si="26"/>
        <v>51.574564955579994</v>
      </c>
      <c r="BO165" s="2" t="str">
        <f t="shared" si="27"/>
        <v>C+</v>
      </c>
    </row>
    <row r="166" spans="1:67" x14ac:dyDescent="0.35">
      <c r="A166" s="15">
        <v>165</v>
      </c>
      <c r="B166" s="10" t="s">
        <v>181</v>
      </c>
      <c r="C166" s="11">
        <v>29</v>
      </c>
      <c r="D166" s="11">
        <v>1</v>
      </c>
      <c r="E166" s="11">
        <v>1</v>
      </c>
      <c r="F166" s="11">
        <v>1</v>
      </c>
      <c r="G166" s="11">
        <v>1</v>
      </c>
      <c r="H166" s="11">
        <v>1</v>
      </c>
      <c r="I166" s="11">
        <v>1</v>
      </c>
      <c r="J166" s="11">
        <v>1</v>
      </c>
      <c r="K166" s="11">
        <v>1</v>
      </c>
      <c r="L166" s="11">
        <v>1</v>
      </c>
      <c r="M166" s="11">
        <v>1</v>
      </c>
      <c r="N166" s="11">
        <v>1</v>
      </c>
      <c r="O166" s="11">
        <v>1</v>
      </c>
      <c r="P166" s="11">
        <v>1</v>
      </c>
      <c r="Q166" s="11">
        <v>1</v>
      </c>
      <c r="R166" s="11">
        <v>0</v>
      </c>
      <c r="S166" s="11">
        <v>1</v>
      </c>
      <c r="T166" s="11">
        <v>1</v>
      </c>
      <c r="U166" s="11">
        <v>0</v>
      </c>
      <c r="V166" s="11">
        <v>1</v>
      </c>
      <c r="W166" s="11">
        <v>0</v>
      </c>
      <c r="X166" s="11">
        <v>1</v>
      </c>
      <c r="Y166" s="11">
        <v>1</v>
      </c>
      <c r="Z166" s="11">
        <v>1</v>
      </c>
      <c r="AA166" s="11">
        <v>0</v>
      </c>
      <c r="AB166" s="11">
        <v>0</v>
      </c>
      <c r="AC166" s="11">
        <v>1</v>
      </c>
      <c r="AD166" s="11">
        <v>1</v>
      </c>
      <c r="AE166" s="11">
        <v>0</v>
      </c>
      <c r="AF166" s="11">
        <v>1</v>
      </c>
      <c r="AG166" s="11">
        <v>0</v>
      </c>
      <c r="AH166" s="11">
        <v>1</v>
      </c>
      <c r="AI166" s="11">
        <v>1</v>
      </c>
      <c r="AJ166" s="11">
        <v>0</v>
      </c>
      <c r="AK166" s="11">
        <v>0</v>
      </c>
      <c r="AL166" s="11">
        <v>0</v>
      </c>
      <c r="AM166" s="11">
        <v>1</v>
      </c>
      <c r="AN166" s="11">
        <v>0</v>
      </c>
      <c r="AO166" s="11">
        <v>1</v>
      </c>
      <c r="AP166" s="11">
        <v>1</v>
      </c>
      <c r="AQ166" s="11">
        <v>0</v>
      </c>
      <c r="AR166" s="11">
        <v>0</v>
      </c>
      <c r="AS166" s="11">
        <v>0</v>
      </c>
      <c r="AT166" s="11">
        <v>1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5">
        <f t="shared" si="28"/>
        <v>91.244336001841447</v>
      </c>
      <c r="BH166" s="3">
        <f t="shared" si="29"/>
        <v>23.301843746476848</v>
      </c>
      <c r="BI166" s="3">
        <f t="shared" si="30"/>
        <v>31.698156253523152</v>
      </c>
      <c r="BJ166" s="3">
        <f t="shared" si="22"/>
        <v>-0.30772602865125104</v>
      </c>
      <c r="BK166" s="3">
        <f t="shared" si="23"/>
        <v>-0.45609683602320777</v>
      </c>
      <c r="BL166" s="3">
        <f t="shared" si="24"/>
        <v>0.94333424358242735</v>
      </c>
      <c r="BM166" s="3">
        <f t="shared" si="25"/>
        <v>0.15728338961649524</v>
      </c>
      <c r="BN166" s="3">
        <f t="shared" si="26"/>
        <v>51.572833896164951</v>
      </c>
      <c r="BO166" s="2" t="str">
        <f t="shared" si="27"/>
        <v>C+</v>
      </c>
    </row>
    <row r="167" spans="1:67" x14ac:dyDescent="0.35">
      <c r="A167" s="1">
        <v>166</v>
      </c>
      <c r="B167" s="10" t="s">
        <v>182</v>
      </c>
      <c r="C167" s="11">
        <v>29</v>
      </c>
      <c r="D167" s="11">
        <v>1</v>
      </c>
      <c r="E167" s="11">
        <v>1</v>
      </c>
      <c r="F167" s="11">
        <v>1</v>
      </c>
      <c r="G167" s="11">
        <v>1</v>
      </c>
      <c r="H167" s="11">
        <v>1</v>
      </c>
      <c r="I167" s="11">
        <v>0</v>
      </c>
      <c r="J167" s="11">
        <v>1</v>
      </c>
      <c r="K167" s="11">
        <v>1</v>
      </c>
      <c r="L167" s="11">
        <v>1</v>
      </c>
      <c r="M167" s="11">
        <v>1</v>
      </c>
      <c r="N167" s="11">
        <v>1</v>
      </c>
      <c r="O167" s="11">
        <v>1</v>
      </c>
      <c r="P167" s="11">
        <v>1</v>
      </c>
      <c r="Q167" s="11">
        <v>1</v>
      </c>
      <c r="R167" s="11">
        <v>1</v>
      </c>
      <c r="S167" s="11">
        <v>1</v>
      </c>
      <c r="T167" s="11">
        <v>1</v>
      </c>
      <c r="U167" s="11">
        <v>1</v>
      </c>
      <c r="V167" s="11">
        <v>1</v>
      </c>
      <c r="W167" s="11">
        <v>1</v>
      </c>
      <c r="X167" s="11">
        <v>1</v>
      </c>
      <c r="Y167" s="11">
        <v>1</v>
      </c>
      <c r="Z167" s="11">
        <v>1</v>
      </c>
      <c r="AA167" s="11">
        <v>0</v>
      </c>
      <c r="AB167" s="11">
        <v>0</v>
      </c>
      <c r="AC167" s="11">
        <v>1</v>
      </c>
      <c r="AD167" s="11">
        <v>1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1</v>
      </c>
      <c r="AQ167" s="11">
        <v>0</v>
      </c>
      <c r="AR167" s="11">
        <v>1</v>
      </c>
      <c r="AS167" s="11">
        <v>0</v>
      </c>
      <c r="AT167" s="11">
        <v>1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1</v>
      </c>
      <c r="BB167" s="11">
        <v>1</v>
      </c>
      <c r="BC167" s="11">
        <v>0</v>
      </c>
      <c r="BD167" s="11">
        <v>0</v>
      </c>
      <c r="BE167" s="11">
        <v>0</v>
      </c>
      <c r="BF167" s="11">
        <v>0</v>
      </c>
      <c r="BG167" s="5">
        <f t="shared" si="28"/>
        <v>91.16583597371141</v>
      </c>
      <c r="BH167" s="3">
        <f t="shared" si="29"/>
        <v>23.281796525249405</v>
      </c>
      <c r="BI167" s="3">
        <f t="shared" si="30"/>
        <v>31.718203474750595</v>
      </c>
      <c r="BJ167" s="3">
        <f t="shared" si="22"/>
        <v>-0.30921896796068316</v>
      </c>
      <c r="BK167" s="3">
        <f t="shared" si="23"/>
        <v>-0.45609683602320777</v>
      </c>
      <c r="BL167" s="3">
        <f t="shared" si="24"/>
        <v>0.94333424358242735</v>
      </c>
      <c r="BM167" s="3">
        <f t="shared" si="25"/>
        <v>0.15570076996753338</v>
      </c>
      <c r="BN167" s="3">
        <f t="shared" si="26"/>
        <v>51.557007699675331</v>
      </c>
      <c r="BO167" s="2" t="str">
        <f t="shared" si="27"/>
        <v>C+</v>
      </c>
    </row>
    <row r="168" spans="1:67" x14ac:dyDescent="0.35">
      <c r="A168" s="15">
        <v>167</v>
      </c>
      <c r="B168" s="10" t="s">
        <v>183</v>
      </c>
      <c r="C168" s="11">
        <v>29</v>
      </c>
      <c r="D168" s="11">
        <v>1</v>
      </c>
      <c r="E168" s="11">
        <v>1</v>
      </c>
      <c r="F168" s="11">
        <v>1</v>
      </c>
      <c r="G168" s="11">
        <v>1</v>
      </c>
      <c r="H168" s="11">
        <v>1</v>
      </c>
      <c r="I168" s="11">
        <v>1</v>
      </c>
      <c r="J168" s="11">
        <v>1</v>
      </c>
      <c r="K168" s="11">
        <v>1</v>
      </c>
      <c r="L168" s="11">
        <v>1</v>
      </c>
      <c r="M168" s="11">
        <v>1</v>
      </c>
      <c r="N168" s="11">
        <v>1</v>
      </c>
      <c r="O168" s="11">
        <v>1</v>
      </c>
      <c r="P168" s="11">
        <v>1</v>
      </c>
      <c r="Q168" s="11">
        <v>1</v>
      </c>
      <c r="R168" s="11">
        <v>0</v>
      </c>
      <c r="S168" s="11">
        <v>1</v>
      </c>
      <c r="T168" s="11">
        <v>1</v>
      </c>
      <c r="U168" s="11">
        <v>1</v>
      </c>
      <c r="V168" s="11">
        <v>1</v>
      </c>
      <c r="W168" s="11">
        <v>1</v>
      </c>
      <c r="X168" s="11">
        <v>1</v>
      </c>
      <c r="Y168" s="11">
        <v>1</v>
      </c>
      <c r="Z168" s="11">
        <v>0</v>
      </c>
      <c r="AA168" s="11">
        <v>0</v>
      </c>
      <c r="AB168" s="11">
        <v>0</v>
      </c>
      <c r="AC168" s="11">
        <v>1</v>
      </c>
      <c r="AD168" s="11">
        <v>0</v>
      </c>
      <c r="AE168" s="11">
        <v>1</v>
      </c>
      <c r="AF168" s="11">
        <v>1</v>
      </c>
      <c r="AG168" s="11">
        <v>1</v>
      </c>
      <c r="AH168" s="11">
        <v>1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1</v>
      </c>
      <c r="AX168" s="11">
        <v>1</v>
      </c>
      <c r="AY168" s="11">
        <v>0</v>
      </c>
      <c r="AZ168" s="11">
        <v>1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5">
        <f t="shared" si="28"/>
        <v>90.357880109684274</v>
      </c>
      <c r="BH168" s="3">
        <f t="shared" si="29"/>
        <v>23.075461950167067</v>
      </c>
      <c r="BI168" s="3">
        <f t="shared" si="30"/>
        <v>31.924538049832933</v>
      </c>
      <c r="BJ168" s="3">
        <f t="shared" si="22"/>
        <v>-0.32460513226007326</v>
      </c>
      <c r="BK168" s="3">
        <f t="shared" si="23"/>
        <v>-0.45609683602320777</v>
      </c>
      <c r="BL168" s="3">
        <f t="shared" si="24"/>
        <v>0.94333424358242735</v>
      </c>
      <c r="BM168" s="3">
        <f t="shared" si="25"/>
        <v>0.1393903641871185</v>
      </c>
      <c r="BN168" s="3">
        <f t="shared" si="26"/>
        <v>51.393903641871184</v>
      </c>
      <c r="BO168" s="2" t="str">
        <f t="shared" si="27"/>
        <v>C+</v>
      </c>
    </row>
    <row r="169" spans="1:67" x14ac:dyDescent="0.35">
      <c r="A169" s="15">
        <v>168</v>
      </c>
      <c r="B169" s="10" t="s">
        <v>184</v>
      </c>
      <c r="C169" s="11">
        <v>29</v>
      </c>
      <c r="D169" s="11">
        <v>1</v>
      </c>
      <c r="E169" s="11">
        <v>1</v>
      </c>
      <c r="F169" s="11">
        <v>1</v>
      </c>
      <c r="G169" s="11">
        <v>1</v>
      </c>
      <c r="H169" s="11">
        <v>1</v>
      </c>
      <c r="I169" s="11">
        <v>0</v>
      </c>
      <c r="J169" s="11">
        <v>1</v>
      </c>
      <c r="K169" s="11">
        <v>1</v>
      </c>
      <c r="L169" s="11">
        <v>1</v>
      </c>
      <c r="M169" s="11">
        <v>1</v>
      </c>
      <c r="N169" s="11">
        <v>1</v>
      </c>
      <c r="O169" s="11">
        <v>1</v>
      </c>
      <c r="P169" s="11">
        <v>1</v>
      </c>
      <c r="Q169" s="11">
        <v>1</v>
      </c>
      <c r="R169" s="11">
        <v>0</v>
      </c>
      <c r="S169" s="11">
        <v>1</v>
      </c>
      <c r="T169" s="11">
        <v>1</v>
      </c>
      <c r="U169" s="11">
        <v>1</v>
      </c>
      <c r="V169" s="11">
        <v>0</v>
      </c>
      <c r="W169" s="11">
        <v>0</v>
      </c>
      <c r="X169" s="11">
        <v>0</v>
      </c>
      <c r="Y169" s="11">
        <v>1</v>
      </c>
      <c r="Z169" s="11">
        <v>1</v>
      </c>
      <c r="AA169" s="11">
        <v>0</v>
      </c>
      <c r="AB169" s="11">
        <v>0</v>
      </c>
      <c r="AC169" s="11">
        <v>0</v>
      </c>
      <c r="AD169" s="11">
        <v>1</v>
      </c>
      <c r="AE169" s="11">
        <v>1</v>
      </c>
      <c r="AF169" s="11">
        <v>1</v>
      </c>
      <c r="AG169" s="11">
        <v>1</v>
      </c>
      <c r="AH169" s="11">
        <v>0</v>
      </c>
      <c r="AI169" s="11">
        <v>0</v>
      </c>
      <c r="AJ169" s="11">
        <v>1</v>
      </c>
      <c r="AK169" s="11">
        <v>1</v>
      </c>
      <c r="AL169" s="11">
        <v>1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1</v>
      </c>
      <c r="AT169" s="11">
        <v>1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1</v>
      </c>
      <c r="BC169" s="11">
        <v>1</v>
      </c>
      <c r="BD169" s="11">
        <v>0</v>
      </c>
      <c r="BE169" s="11">
        <v>0</v>
      </c>
      <c r="BF169" s="11">
        <v>0</v>
      </c>
      <c r="BG169" s="5">
        <f t="shared" si="28"/>
        <v>90.371103722544916</v>
      </c>
      <c r="BH169" s="3">
        <f t="shared" si="29"/>
        <v>23.078838976886143</v>
      </c>
      <c r="BI169" s="3">
        <f t="shared" si="30"/>
        <v>31.921161023113857</v>
      </c>
      <c r="BJ169" s="3">
        <f t="shared" si="22"/>
        <v>-0.32435300874446538</v>
      </c>
      <c r="BK169" s="3">
        <f t="shared" si="23"/>
        <v>-0.45609683602320777</v>
      </c>
      <c r="BL169" s="3">
        <f t="shared" si="24"/>
        <v>0.94333424358242735</v>
      </c>
      <c r="BM169" s="3">
        <f t="shared" si="25"/>
        <v>0.13965763267368422</v>
      </c>
      <c r="BN169" s="3">
        <f t="shared" si="26"/>
        <v>51.396576326736842</v>
      </c>
      <c r="BO169" s="2" t="str">
        <f t="shared" si="27"/>
        <v>C+</v>
      </c>
    </row>
    <row r="170" spans="1:67" x14ac:dyDescent="0.35">
      <c r="A170" s="1">
        <v>169</v>
      </c>
      <c r="B170" s="12">
        <v>1008197</v>
      </c>
      <c r="C170" s="11">
        <v>29</v>
      </c>
      <c r="D170" s="11">
        <v>1</v>
      </c>
      <c r="E170" s="11">
        <v>0</v>
      </c>
      <c r="F170" s="11">
        <v>1</v>
      </c>
      <c r="G170" s="11">
        <v>1</v>
      </c>
      <c r="H170" s="11">
        <v>1</v>
      </c>
      <c r="I170" s="11">
        <v>1</v>
      </c>
      <c r="J170" s="11">
        <v>1</v>
      </c>
      <c r="K170" s="11">
        <v>1</v>
      </c>
      <c r="L170" s="11">
        <v>1</v>
      </c>
      <c r="M170" s="11">
        <v>1</v>
      </c>
      <c r="N170" s="11">
        <v>1</v>
      </c>
      <c r="O170" s="11">
        <v>1</v>
      </c>
      <c r="P170" s="11">
        <v>1</v>
      </c>
      <c r="Q170" s="11">
        <v>1</v>
      </c>
      <c r="R170" s="11">
        <v>1</v>
      </c>
      <c r="S170" s="11">
        <v>1</v>
      </c>
      <c r="T170" s="11">
        <v>1</v>
      </c>
      <c r="U170" s="11">
        <v>1</v>
      </c>
      <c r="V170" s="11">
        <v>1</v>
      </c>
      <c r="W170" s="11">
        <v>0</v>
      </c>
      <c r="X170" s="11">
        <v>1</v>
      </c>
      <c r="Y170" s="11">
        <v>1</v>
      </c>
      <c r="Z170" s="11">
        <v>0</v>
      </c>
      <c r="AA170" s="11">
        <v>0</v>
      </c>
      <c r="AB170" s="11">
        <v>0</v>
      </c>
      <c r="AC170" s="11">
        <v>1</v>
      </c>
      <c r="AD170" s="11">
        <v>0</v>
      </c>
      <c r="AE170" s="11">
        <v>1</v>
      </c>
      <c r="AF170" s="11">
        <v>1</v>
      </c>
      <c r="AG170" s="11">
        <v>0</v>
      </c>
      <c r="AH170" s="11">
        <v>1</v>
      </c>
      <c r="AI170" s="11">
        <v>1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1</v>
      </c>
      <c r="AR170" s="11">
        <v>1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1</v>
      </c>
      <c r="BB170" s="11">
        <v>1</v>
      </c>
      <c r="BC170" s="11">
        <v>0</v>
      </c>
      <c r="BD170" s="11">
        <v>0</v>
      </c>
      <c r="BE170" s="11">
        <v>0</v>
      </c>
      <c r="BF170" s="11">
        <v>0</v>
      </c>
      <c r="BG170" s="5">
        <f t="shared" si="28"/>
        <v>90.176347545867642</v>
      </c>
      <c r="BH170" s="3">
        <f t="shared" si="29"/>
        <v>23.029102432170607</v>
      </c>
      <c r="BI170" s="3">
        <f t="shared" si="30"/>
        <v>31.970897567829393</v>
      </c>
      <c r="BJ170" s="3">
        <f t="shared" si="22"/>
        <v>-0.32806729877260327</v>
      </c>
      <c r="BK170" s="3">
        <f t="shared" si="23"/>
        <v>-0.45609683602320777</v>
      </c>
      <c r="BL170" s="3">
        <f t="shared" si="24"/>
        <v>0.94333424358242735</v>
      </c>
      <c r="BM170" s="3">
        <f t="shared" si="25"/>
        <v>0.13572022654917801</v>
      </c>
      <c r="BN170" s="3">
        <f t="shared" si="26"/>
        <v>51.357202265491779</v>
      </c>
      <c r="BO170" s="2" t="str">
        <f t="shared" si="27"/>
        <v>C+</v>
      </c>
    </row>
    <row r="171" spans="1:67" x14ac:dyDescent="0.35">
      <c r="A171" s="15">
        <v>170</v>
      </c>
      <c r="B171" s="10" t="s">
        <v>185</v>
      </c>
      <c r="C171" s="11">
        <v>28</v>
      </c>
      <c r="D171" s="11">
        <v>1</v>
      </c>
      <c r="E171" s="11">
        <v>1</v>
      </c>
      <c r="F171" s="11">
        <v>1</v>
      </c>
      <c r="G171" s="11">
        <v>1</v>
      </c>
      <c r="H171" s="11">
        <v>1</v>
      </c>
      <c r="I171" s="11">
        <v>0</v>
      </c>
      <c r="J171" s="11">
        <v>1</v>
      </c>
      <c r="K171" s="11">
        <v>1</v>
      </c>
      <c r="L171" s="11">
        <v>1</v>
      </c>
      <c r="M171" s="11">
        <v>1</v>
      </c>
      <c r="N171" s="11">
        <v>1</v>
      </c>
      <c r="O171" s="11">
        <v>1</v>
      </c>
      <c r="P171" s="11">
        <v>1</v>
      </c>
      <c r="Q171" s="11">
        <v>1</v>
      </c>
      <c r="R171" s="11">
        <v>1</v>
      </c>
      <c r="S171" s="11">
        <v>1</v>
      </c>
      <c r="T171" s="11">
        <v>1</v>
      </c>
      <c r="U171" s="11">
        <v>1</v>
      </c>
      <c r="V171" s="11">
        <v>1</v>
      </c>
      <c r="W171" s="11">
        <v>0</v>
      </c>
      <c r="X171" s="11">
        <v>0</v>
      </c>
      <c r="Y171" s="11">
        <v>1</v>
      </c>
      <c r="Z171" s="11">
        <v>0</v>
      </c>
      <c r="AA171" s="11">
        <v>1</v>
      </c>
      <c r="AB171" s="11">
        <v>0</v>
      </c>
      <c r="AC171" s="11">
        <v>0</v>
      </c>
      <c r="AD171" s="11">
        <v>1</v>
      </c>
      <c r="AE171" s="11">
        <v>0</v>
      </c>
      <c r="AF171" s="11">
        <v>1</v>
      </c>
      <c r="AG171" s="11">
        <v>0</v>
      </c>
      <c r="AH171" s="11">
        <v>0</v>
      </c>
      <c r="AI171" s="11">
        <v>1</v>
      </c>
      <c r="AJ171" s="11">
        <v>0</v>
      </c>
      <c r="AK171" s="11">
        <v>1</v>
      </c>
      <c r="AL171" s="11">
        <v>0</v>
      </c>
      <c r="AM171" s="11">
        <v>0</v>
      </c>
      <c r="AN171" s="11">
        <v>1</v>
      </c>
      <c r="AO171" s="11">
        <v>0</v>
      </c>
      <c r="AP171" s="11">
        <v>0</v>
      </c>
      <c r="AQ171" s="11">
        <v>1</v>
      </c>
      <c r="AR171" s="11">
        <v>1</v>
      </c>
      <c r="AS171" s="11">
        <v>0</v>
      </c>
      <c r="AT171" s="11">
        <v>0</v>
      </c>
      <c r="AU171" s="11">
        <v>0</v>
      </c>
      <c r="AV171" s="11">
        <v>0</v>
      </c>
      <c r="AW171" s="11">
        <v>1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5">
        <f t="shared" si="28"/>
        <v>89.85232448285447</v>
      </c>
      <c r="BH171" s="3">
        <f t="shared" si="29"/>
        <v>22.946353900969335</v>
      </c>
      <c r="BI171" s="3">
        <f t="shared" si="30"/>
        <v>32.053646099030665</v>
      </c>
      <c r="BJ171" s="3">
        <f t="shared" si="22"/>
        <v>-0.33425188726875266</v>
      </c>
      <c r="BK171" s="3">
        <f t="shared" si="23"/>
        <v>-0.45609683602320777</v>
      </c>
      <c r="BL171" s="3">
        <f t="shared" si="24"/>
        <v>0.94333424358242735</v>
      </c>
      <c r="BM171" s="3">
        <f t="shared" si="25"/>
        <v>0.12916413199602933</v>
      </c>
      <c r="BN171" s="3">
        <f t="shared" si="26"/>
        <v>51.291641319960291</v>
      </c>
      <c r="BO171" s="2" t="str">
        <f t="shared" si="27"/>
        <v>C+</v>
      </c>
    </row>
    <row r="172" spans="1:67" x14ac:dyDescent="0.35">
      <c r="A172" s="15">
        <v>171</v>
      </c>
      <c r="B172" s="10" t="s">
        <v>186</v>
      </c>
      <c r="C172" s="11">
        <v>29</v>
      </c>
      <c r="D172" s="11">
        <v>1</v>
      </c>
      <c r="E172" s="11">
        <v>1</v>
      </c>
      <c r="F172" s="11">
        <v>1</v>
      </c>
      <c r="G172" s="11">
        <v>1</v>
      </c>
      <c r="H172" s="11">
        <v>1</v>
      </c>
      <c r="I172" s="11">
        <v>1</v>
      </c>
      <c r="J172" s="11">
        <v>1</v>
      </c>
      <c r="K172" s="11">
        <v>1</v>
      </c>
      <c r="L172" s="11">
        <v>1</v>
      </c>
      <c r="M172" s="11">
        <v>1</v>
      </c>
      <c r="N172" s="11">
        <v>1</v>
      </c>
      <c r="O172" s="11">
        <v>1</v>
      </c>
      <c r="P172" s="11">
        <v>0</v>
      </c>
      <c r="Q172" s="11">
        <v>1</v>
      </c>
      <c r="R172" s="11">
        <v>0</v>
      </c>
      <c r="S172" s="11">
        <v>1</v>
      </c>
      <c r="T172" s="11">
        <v>1</v>
      </c>
      <c r="U172" s="11">
        <v>1</v>
      </c>
      <c r="V172" s="11">
        <v>1</v>
      </c>
      <c r="W172" s="11">
        <v>0</v>
      </c>
      <c r="X172" s="11">
        <v>1</v>
      </c>
      <c r="Y172" s="11">
        <v>1</v>
      </c>
      <c r="Z172" s="11">
        <v>1</v>
      </c>
      <c r="AA172" s="11">
        <v>0</v>
      </c>
      <c r="AB172" s="11">
        <v>0</v>
      </c>
      <c r="AC172" s="11">
        <v>1</v>
      </c>
      <c r="AD172" s="11">
        <v>0</v>
      </c>
      <c r="AE172" s="11">
        <v>1</v>
      </c>
      <c r="AF172" s="11">
        <v>1</v>
      </c>
      <c r="AG172" s="11">
        <v>1</v>
      </c>
      <c r="AH172" s="11">
        <v>0</v>
      </c>
      <c r="AI172" s="11">
        <v>1</v>
      </c>
      <c r="AJ172" s="11">
        <v>0</v>
      </c>
      <c r="AK172" s="11">
        <v>0</v>
      </c>
      <c r="AL172" s="11">
        <v>0</v>
      </c>
      <c r="AM172" s="11">
        <v>1</v>
      </c>
      <c r="AN172" s="11">
        <v>1</v>
      </c>
      <c r="AO172" s="11">
        <v>0</v>
      </c>
      <c r="AP172" s="11">
        <v>0</v>
      </c>
      <c r="AQ172" s="11">
        <v>1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1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5">
        <f t="shared" si="28"/>
        <v>89.667234224868466</v>
      </c>
      <c r="BH172" s="3">
        <f t="shared" si="29"/>
        <v>22.899085824291149</v>
      </c>
      <c r="BI172" s="3">
        <f t="shared" si="30"/>
        <v>32.100914175708851</v>
      </c>
      <c r="BJ172" s="3">
        <f t="shared" si="22"/>
        <v>-0.33778751929777145</v>
      </c>
      <c r="BK172" s="3">
        <f t="shared" si="23"/>
        <v>-0.45609683602320777</v>
      </c>
      <c r="BL172" s="3">
        <f t="shared" si="24"/>
        <v>0.94333424358242735</v>
      </c>
      <c r="BM172" s="3">
        <f t="shared" si="25"/>
        <v>0.12541611579384862</v>
      </c>
      <c r="BN172" s="3">
        <f t="shared" si="26"/>
        <v>51.254161157938483</v>
      </c>
      <c r="BO172" s="2" t="str">
        <f t="shared" si="27"/>
        <v>C+</v>
      </c>
    </row>
    <row r="173" spans="1:67" x14ac:dyDescent="0.35">
      <c r="A173" s="1">
        <v>172</v>
      </c>
      <c r="B173" s="10" t="s">
        <v>187</v>
      </c>
      <c r="C173" s="11">
        <v>28</v>
      </c>
      <c r="D173" s="11">
        <v>1</v>
      </c>
      <c r="E173" s="11">
        <v>0</v>
      </c>
      <c r="F173" s="11">
        <v>1</v>
      </c>
      <c r="G173" s="11">
        <v>1</v>
      </c>
      <c r="H173" s="11">
        <v>1</v>
      </c>
      <c r="I173" s="11">
        <v>0</v>
      </c>
      <c r="J173" s="11">
        <v>1</v>
      </c>
      <c r="K173" s="11">
        <v>1</v>
      </c>
      <c r="L173" s="11">
        <v>1</v>
      </c>
      <c r="M173" s="11">
        <v>1</v>
      </c>
      <c r="N173" s="11">
        <v>1</v>
      </c>
      <c r="O173" s="11">
        <v>1</v>
      </c>
      <c r="P173" s="11">
        <v>0</v>
      </c>
      <c r="Q173" s="11">
        <v>1</v>
      </c>
      <c r="R173" s="11">
        <v>1</v>
      </c>
      <c r="S173" s="11">
        <v>1</v>
      </c>
      <c r="T173" s="11">
        <v>0</v>
      </c>
      <c r="U173" s="11">
        <v>1</v>
      </c>
      <c r="V173" s="11">
        <v>0</v>
      </c>
      <c r="W173" s="11">
        <v>0</v>
      </c>
      <c r="X173" s="11">
        <v>1</v>
      </c>
      <c r="Y173" s="11">
        <v>1</v>
      </c>
      <c r="Z173" s="11">
        <v>1</v>
      </c>
      <c r="AA173" s="11">
        <v>0</v>
      </c>
      <c r="AB173" s="11">
        <v>0</v>
      </c>
      <c r="AC173" s="11">
        <v>1</v>
      </c>
      <c r="AD173" s="11">
        <v>0</v>
      </c>
      <c r="AE173" s="11">
        <v>0</v>
      </c>
      <c r="AF173" s="11">
        <v>0</v>
      </c>
      <c r="AG173" s="11">
        <v>1</v>
      </c>
      <c r="AH173" s="11">
        <v>0</v>
      </c>
      <c r="AI173" s="11">
        <v>0</v>
      </c>
      <c r="AJ173" s="11">
        <v>1</v>
      </c>
      <c r="AK173" s="11">
        <v>1</v>
      </c>
      <c r="AL173" s="11">
        <v>1</v>
      </c>
      <c r="AM173" s="11">
        <v>1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1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1</v>
      </c>
      <c r="BB173" s="11">
        <v>1</v>
      </c>
      <c r="BC173" s="11">
        <v>1</v>
      </c>
      <c r="BD173" s="11">
        <v>1</v>
      </c>
      <c r="BE173" s="11">
        <v>0</v>
      </c>
      <c r="BF173" s="11">
        <v>0</v>
      </c>
      <c r="BG173" s="5">
        <f t="shared" si="28"/>
        <v>89.484036802376878</v>
      </c>
      <c r="BH173" s="3">
        <f t="shared" si="29"/>
        <v>22.852301137145528</v>
      </c>
      <c r="BI173" s="3">
        <f t="shared" si="30"/>
        <v>32.147698862854469</v>
      </c>
      <c r="BJ173" s="3">
        <f t="shared" si="22"/>
        <v>-0.34128905460366554</v>
      </c>
      <c r="BK173" s="3">
        <f t="shared" si="23"/>
        <v>-0.45609683602320777</v>
      </c>
      <c r="BL173" s="3">
        <f t="shared" si="24"/>
        <v>0.94333424358242735</v>
      </c>
      <c r="BM173" s="3">
        <f t="shared" si="25"/>
        <v>0.12170424449296531</v>
      </c>
      <c r="BN173" s="3">
        <f t="shared" si="26"/>
        <v>51.217042444929653</v>
      </c>
      <c r="BO173" s="2" t="str">
        <f t="shared" si="27"/>
        <v>C+</v>
      </c>
    </row>
    <row r="174" spans="1:67" x14ac:dyDescent="0.35">
      <c r="A174" s="15">
        <v>173</v>
      </c>
      <c r="B174" s="10" t="s">
        <v>188</v>
      </c>
      <c r="C174" s="11">
        <v>28</v>
      </c>
      <c r="D174" s="11">
        <v>1</v>
      </c>
      <c r="E174" s="11">
        <v>1</v>
      </c>
      <c r="F174" s="11">
        <v>1</v>
      </c>
      <c r="G174" s="11">
        <v>1</v>
      </c>
      <c r="H174" s="11">
        <v>1</v>
      </c>
      <c r="I174" s="11">
        <v>1</v>
      </c>
      <c r="J174" s="11">
        <v>1</v>
      </c>
      <c r="K174" s="11">
        <v>1</v>
      </c>
      <c r="L174" s="11">
        <v>0</v>
      </c>
      <c r="M174" s="11">
        <v>1</v>
      </c>
      <c r="N174" s="11">
        <v>1</v>
      </c>
      <c r="O174" s="11">
        <v>1</v>
      </c>
      <c r="P174" s="11">
        <v>0</v>
      </c>
      <c r="Q174" s="11">
        <v>1</v>
      </c>
      <c r="R174" s="11">
        <v>0</v>
      </c>
      <c r="S174" s="11">
        <v>1</v>
      </c>
      <c r="T174" s="11">
        <v>1</v>
      </c>
      <c r="U174" s="11">
        <v>1</v>
      </c>
      <c r="V174" s="11">
        <v>1</v>
      </c>
      <c r="W174" s="11">
        <v>1</v>
      </c>
      <c r="X174" s="11">
        <v>0</v>
      </c>
      <c r="Y174" s="11">
        <v>1</v>
      </c>
      <c r="Z174" s="11">
        <v>0</v>
      </c>
      <c r="AA174" s="11">
        <v>0</v>
      </c>
      <c r="AB174" s="11">
        <v>1</v>
      </c>
      <c r="AC174" s="11">
        <v>1</v>
      </c>
      <c r="AD174" s="11">
        <v>1</v>
      </c>
      <c r="AE174" s="11">
        <v>0</v>
      </c>
      <c r="AF174" s="11">
        <v>1</v>
      </c>
      <c r="AG174" s="11">
        <v>0</v>
      </c>
      <c r="AH174" s="11">
        <v>0</v>
      </c>
      <c r="AI174" s="11">
        <v>1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1</v>
      </c>
      <c r="AQ174" s="11">
        <v>1</v>
      </c>
      <c r="AR174" s="11">
        <v>1</v>
      </c>
      <c r="AS174" s="11">
        <v>0</v>
      </c>
      <c r="AT174" s="11">
        <v>1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1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5">
        <f t="shared" si="28"/>
        <v>89.259922267036131</v>
      </c>
      <c r="BH174" s="3">
        <f t="shared" si="29"/>
        <v>22.795067098161244</v>
      </c>
      <c r="BI174" s="3">
        <f t="shared" si="30"/>
        <v>32.20493290183876</v>
      </c>
      <c r="BJ174" s="3">
        <f t="shared" si="22"/>
        <v>-0.34557547931798038</v>
      </c>
      <c r="BK174" s="3">
        <f t="shared" si="23"/>
        <v>-0.45609683602320777</v>
      </c>
      <c r="BL174" s="3">
        <f t="shared" si="24"/>
        <v>0.94333424358242735</v>
      </c>
      <c r="BM174" s="3">
        <f t="shared" si="25"/>
        <v>0.11716033575279639</v>
      </c>
      <c r="BN174" s="3">
        <f t="shared" si="26"/>
        <v>51.171603357527964</v>
      </c>
      <c r="BO174" s="2" t="str">
        <f t="shared" si="27"/>
        <v>C+</v>
      </c>
    </row>
    <row r="175" spans="1:67" x14ac:dyDescent="0.35">
      <c r="A175" s="15">
        <v>174</v>
      </c>
      <c r="B175" s="10" t="s">
        <v>189</v>
      </c>
      <c r="C175" s="11">
        <v>28</v>
      </c>
      <c r="D175" s="11">
        <v>1</v>
      </c>
      <c r="E175" s="11">
        <v>1</v>
      </c>
      <c r="F175" s="11">
        <v>1</v>
      </c>
      <c r="G175" s="11">
        <v>1</v>
      </c>
      <c r="H175" s="11">
        <v>1</v>
      </c>
      <c r="I175" s="11">
        <v>1</v>
      </c>
      <c r="J175" s="11">
        <v>1</v>
      </c>
      <c r="K175" s="11">
        <v>1</v>
      </c>
      <c r="L175" s="11">
        <v>0</v>
      </c>
      <c r="M175" s="11">
        <v>1</v>
      </c>
      <c r="N175" s="11">
        <v>1</v>
      </c>
      <c r="O175" s="11">
        <v>1</v>
      </c>
      <c r="P175" s="11">
        <v>1</v>
      </c>
      <c r="Q175" s="11">
        <v>1</v>
      </c>
      <c r="R175" s="11">
        <v>1</v>
      </c>
      <c r="S175" s="11">
        <v>1</v>
      </c>
      <c r="T175" s="11">
        <v>1</v>
      </c>
      <c r="U175" s="11">
        <v>0</v>
      </c>
      <c r="V175" s="11">
        <v>1</v>
      </c>
      <c r="W175" s="11">
        <v>0</v>
      </c>
      <c r="X175" s="11">
        <v>0</v>
      </c>
      <c r="Y175" s="11">
        <v>1</v>
      </c>
      <c r="Z175" s="11">
        <v>0</v>
      </c>
      <c r="AA175" s="11">
        <v>0</v>
      </c>
      <c r="AB175" s="11">
        <v>0</v>
      </c>
      <c r="AC175" s="11">
        <v>0</v>
      </c>
      <c r="AD175" s="11">
        <v>1</v>
      </c>
      <c r="AE175" s="11">
        <v>1</v>
      </c>
      <c r="AF175" s="11">
        <v>0</v>
      </c>
      <c r="AG175" s="11">
        <v>0</v>
      </c>
      <c r="AH175" s="11">
        <v>0</v>
      </c>
      <c r="AI175" s="11">
        <v>1</v>
      </c>
      <c r="AJ175" s="11">
        <v>1</v>
      </c>
      <c r="AK175" s="11">
        <v>1</v>
      </c>
      <c r="AL175" s="11">
        <v>1</v>
      </c>
      <c r="AM175" s="11">
        <v>1</v>
      </c>
      <c r="AN175" s="11">
        <v>1</v>
      </c>
      <c r="AO175" s="11">
        <v>0</v>
      </c>
      <c r="AP175" s="11">
        <v>0</v>
      </c>
      <c r="AQ175" s="11">
        <v>0</v>
      </c>
      <c r="AR175" s="11">
        <v>0</v>
      </c>
      <c r="AS175" s="11">
        <v>1</v>
      </c>
      <c r="AT175" s="11">
        <v>1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5">
        <f t="shared" si="28"/>
        <v>88.802649186341768</v>
      </c>
      <c r="BH175" s="3">
        <f t="shared" si="29"/>
        <v>22.678289374274964</v>
      </c>
      <c r="BI175" s="3">
        <f t="shared" si="30"/>
        <v>32.321710625725032</v>
      </c>
      <c r="BJ175" s="3">
        <f t="shared" si="22"/>
        <v>-0.35433110842811205</v>
      </c>
      <c r="BK175" s="3">
        <f t="shared" si="23"/>
        <v>-0.45609683602320777</v>
      </c>
      <c r="BL175" s="3">
        <f t="shared" si="24"/>
        <v>0.94333424358242735</v>
      </c>
      <c r="BM175" s="3">
        <f t="shared" si="25"/>
        <v>0.10787875907973817</v>
      </c>
      <c r="BN175" s="3">
        <f t="shared" si="26"/>
        <v>51.078787590797383</v>
      </c>
      <c r="BO175" s="2" t="str">
        <f t="shared" si="27"/>
        <v>C+</v>
      </c>
    </row>
    <row r="176" spans="1:67" x14ac:dyDescent="0.35">
      <c r="A176" s="1">
        <v>175</v>
      </c>
      <c r="B176" s="10" t="s">
        <v>190</v>
      </c>
      <c r="C176" s="11">
        <v>27</v>
      </c>
      <c r="D176" s="11">
        <v>0</v>
      </c>
      <c r="E176" s="11">
        <v>1</v>
      </c>
      <c r="F176" s="11">
        <v>1</v>
      </c>
      <c r="G176" s="11">
        <v>1</v>
      </c>
      <c r="H176" s="11">
        <v>1</v>
      </c>
      <c r="I176" s="11">
        <v>0</v>
      </c>
      <c r="J176" s="11">
        <v>1</v>
      </c>
      <c r="K176" s="11">
        <v>1</v>
      </c>
      <c r="L176" s="11">
        <v>1</v>
      </c>
      <c r="M176" s="11">
        <v>1</v>
      </c>
      <c r="N176" s="11">
        <v>0</v>
      </c>
      <c r="O176" s="11">
        <v>1</v>
      </c>
      <c r="P176" s="11">
        <v>1</v>
      </c>
      <c r="Q176" s="11">
        <v>1</v>
      </c>
      <c r="R176" s="11">
        <v>1</v>
      </c>
      <c r="S176" s="11">
        <v>0</v>
      </c>
      <c r="T176" s="11">
        <v>1</v>
      </c>
      <c r="U176" s="11">
        <v>0</v>
      </c>
      <c r="V176" s="11">
        <v>1</v>
      </c>
      <c r="W176" s="11">
        <v>0</v>
      </c>
      <c r="X176" s="11">
        <v>0</v>
      </c>
      <c r="Y176" s="11">
        <v>1</v>
      </c>
      <c r="Z176" s="11">
        <v>1</v>
      </c>
      <c r="AA176" s="11">
        <v>1</v>
      </c>
      <c r="AB176" s="11">
        <v>0</v>
      </c>
      <c r="AC176" s="11">
        <v>1</v>
      </c>
      <c r="AD176" s="11">
        <v>1</v>
      </c>
      <c r="AE176" s="11">
        <v>0</v>
      </c>
      <c r="AF176" s="11">
        <v>0</v>
      </c>
      <c r="AG176" s="11">
        <v>1</v>
      </c>
      <c r="AH176" s="11">
        <v>1</v>
      </c>
      <c r="AI176" s="11">
        <v>0</v>
      </c>
      <c r="AJ176" s="11">
        <v>0</v>
      </c>
      <c r="AK176" s="11">
        <v>0</v>
      </c>
      <c r="AL176" s="11">
        <v>1</v>
      </c>
      <c r="AM176" s="11">
        <v>1</v>
      </c>
      <c r="AN176" s="11">
        <v>1</v>
      </c>
      <c r="AO176" s="11">
        <v>1</v>
      </c>
      <c r="AP176" s="11">
        <v>0</v>
      </c>
      <c r="AQ176" s="11">
        <v>0</v>
      </c>
      <c r="AR176" s="11">
        <v>1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1</v>
      </c>
      <c r="BD176" s="11">
        <v>0</v>
      </c>
      <c r="BE176" s="11">
        <v>0</v>
      </c>
      <c r="BF176" s="11">
        <v>0</v>
      </c>
      <c r="BG176" s="5">
        <f t="shared" si="28"/>
        <v>88.718506653732916</v>
      </c>
      <c r="BH176" s="3">
        <f t="shared" si="29"/>
        <v>22.656801178588552</v>
      </c>
      <c r="BI176" s="3">
        <f t="shared" si="30"/>
        <v>32.343198821411448</v>
      </c>
      <c r="BJ176" s="3">
        <f t="shared" si="22"/>
        <v>-0.35594368184260883</v>
      </c>
      <c r="BK176" s="3">
        <f t="shared" si="23"/>
        <v>-0.45609683602320777</v>
      </c>
      <c r="BL176" s="3">
        <f t="shared" si="24"/>
        <v>0.94333424358242735</v>
      </c>
      <c r="BM176" s="3">
        <f t="shared" si="25"/>
        <v>0.10616931894707339</v>
      </c>
      <c r="BN176" s="3">
        <f t="shared" si="26"/>
        <v>51.061693189470731</v>
      </c>
      <c r="BO176" s="2" t="str">
        <f t="shared" si="27"/>
        <v>C+</v>
      </c>
    </row>
    <row r="177" spans="1:67" x14ac:dyDescent="0.35">
      <c r="A177" s="15">
        <v>176</v>
      </c>
      <c r="B177" s="12">
        <v>909090</v>
      </c>
      <c r="C177" s="11">
        <v>29</v>
      </c>
      <c r="D177" s="11">
        <v>1</v>
      </c>
      <c r="E177" s="11">
        <v>1</v>
      </c>
      <c r="F177" s="11">
        <v>1</v>
      </c>
      <c r="G177" s="11">
        <v>1</v>
      </c>
      <c r="H177" s="11">
        <v>1</v>
      </c>
      <c r="I177" s="11">
        <v>1</v>
      </c>
      <c r="J177" s="11">
        <v>1</v>
      </c>
      <c r="K177" s="11">
        <v>1</v>
      </c>
      <c r="L177" s="11">
        <v>1</v>
      </c>
      <c r="M177" s="11">
        <v>1</v>
      </c>
      <c r="N177" s="11">
        <v>1</v>
      </c>
      <c r="O177" s="11">
        <v>1</v>
      </c>
      <c r="P177" s="11">
        <v>0</v>
      </c>
      <c r="Q177" s="11">
        <v>1</v>
      </c>
      <c r="R177" s="11">
        <v>0</v>
      </c>
      <c r="S177" s="11">
        <v>1</v>
      </c>
      <c r="T177" s="11">
        <v>1</v>
      </c>
      <c r="U177" s="11">
        <v>1</v>
      </c>
      <c r="V177" s="11">
        <v>0</v>
      </c>
      <c r="W177" s="11">
        <v>1</v>
      </c>
      <c r="X177" s="11">
        <v>1</v>
      </c>
      <c r="Y177" s="11">
        <v>0</v>
      </c>
      <c r="Z177" s="11">
        <v>1</v>
      </c>
      <c r="AA177" s="11">
        <v>0</v>
      </c>
      <c r="AB177" s="11">
        <v>0</v>
      </c>
      <c r="AC177" s="11">
        <v>1</v>
      </c>
      <c r="AD177" s="11">
        <v>0</v>
      </c>
      <c r="AE177" s="11">
        <v>1</v>
      </c>
      <c r="AF177" s="11">
        <v>1</v>
      </c>
      <c r="AG177" s="11">
        <v>1</v>
      </c>
      <c r="AH177" s="11">
        <v>1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1</v>
      </c>
      <c r="AR177" s="11">
        <v>1</v>
      </c>
      <c r="AS177" s="11">
        <v>0</v>
      </c>
      <c r="AT177" s="11">
        <v>1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1</v>
      </c>
      <c r="BB177" s="11">
        <v>1</v>
      </c>
      <c r="BC177" s="11">
        <v>0</v>
      </c>
      <c r="BD177" s="11">
        <v>0</v>
      </c>
      <c r="BE177" s="11">
        <v>0</v>
      </c>
      <c r="BF177" s="11">
        <v>0</v>
      </c>
      <c r="BG177" s="5">
        <f t="shared" si="28"/>
        <v>88.65008539088123</v>
      </c>
      <c r="BH177" s="3">
        <f t="shared" si="29"/>
        <v>22.639327857550033</v>
      </c>
      <c r="BI177" s="3">
        <f t="shared" si="30"/>
        <v>32.360672142449971</v>
      </c>
      <c r="BJ177" s="3">
        <f t="shared" si="22"/>
        <v>-0.35725529813134616</v>
      </c>
      <c r="BK177" s="3">
        <f t="shared" si="23"/>
        <v>-0.45609683602320777</v>
      </c>
      <c r="BL177" s="3">
        <f t="shared" si="24"/>
        <v>0.94333424358242735</v>
      </c>
      <c r="BM177" s="3">
        <f t="shared" si="25"/>
        <v>0.10477891432892203</v>
      </c>
      <c r="BN177" s="3">
        <f t="shared" si="26"/>
        <v>51.047789143289222</v>
      </c>
      <c r="BO177" s="2" t="str">
        <f t="shared" si="27"/>
        <v>C+</v>
      </c>
    </row>
    <row r="178" spans="1:67" x14ac:dyDescent="0.35">
      <c r="A178" s="15">
        <v>177</v>
      </c>
      <c r="B178" s="10" t="s">
        <v>191</v>
      </c>
      <c r="C178" s="11">
        <v>28</v>
      </c>
      <c r="D178" s="11">
        <v>1</v>
      </c>
      <c r="E178" s="11">
        <v>0</v>
      </c>
      <c r="F178" s="11">
        <v>1</v>
      </c>
      <c r="G178" s="11">
        <v>1</v>
      </c>
      <c r="H178" s="11">
        <v>1</v>
      </c>
      <c r="I178" s="11">
        <v>0</v>
      </c>
      <c r="J178" s="11">
        <v>1</v>
      </c>
      <c r="K178" s="11">
        <v>1</v>
      </c>
      <c r="L178" s="11">
        <v>1</v>
      </c>
      <c r="M178" s="11">
        <v>1</v>
      </c>
      <c r="N178" s="11">
        <v>1</v>
      </c>
      <c r="O178" s="11">
        <v>1</v>
      </c>
      <c r="P178" s="11">
        <v>1</v>
      </c>
      <c r="Q178" s="11">
        <v>1</v>
      </c>
      <c r="R178" s="11">
        <v>0</v>
      </c>
      <c r="S178" s="11">
        <v>1</v>
      </c>
      <c r="T178" s="11">
        <v>1</v>
      </c>
      <c r="U178" s="11">
        <v>1</v>
      </c>
      <c r="V178" s="11">
        <v>1</v>
      </c>
      <c r="W178" s="11">
        <v>0</v>
      </c>
      <c r="X178" s="11">
        <v>0</v>
      </c>
      <c r="Y178" s="11">
        <v>1</v>
      </c>
      <c r="Z178" s="11">
        <v>0</v>
      </c>
      <c r="AA178" s="11">
        <v>0</v>
      </c>
      <c r="AB178" s="11">
        <v>0</v>
      </c>
      <c r="AC178" s="11">
        <v>1</v>
      </c>
      <c r="AD178" s="11">
        <v>0</v>
      </c>
      <c r="AE178" s="11">
        <v>0</v>
      </c>
      <c r="AF178" s="11">
        <v>1</v>
      </c>
      <c r="AG178" s="11">
        <v>1</v>
      </c>
      <c r="AH178" s="11">
        <v>1</v>
      </c>
      <c r="AI178" s="11">
        <v>0</v>
      </c>
      <c r="AJ178" s="11">
        <v>1</v>
      </c>
      <c r="AK178" s="11">
        <v>1</v>
      </c>
      <c r="AL178" s="11">
        <v>1</v>
      </c>
      <c r="AM178" s="11">
        <v>0</v>
      </c>
      <c r="AN178" s="11">
        <v>0</v>
      </c>
      <c r="AO178" s="11">
        <v>0</v>
      </c>
      <c r="AP178" s="11">
        <v>0</v>
      </c>
      <c r="AQ178" s="11">
        <v>1</v>
      </c>
      <c r="AR178" s="11">
        <v>0</v>
      </c>
      <c r="AS178" s="11">
        <v>0</v>
      </c>
      <c r="AT178" s="11">
        <v>1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1</v>
      </c>
      <c r="BD178" s="11">
        <v>0</v>
      </c>
      <c r="BE178" s="11">
        <v>0</v>
      </c>
      <c r="BF178" s="11">
        <v>1</v>
      </c>
      <c r="BG178" s="5">
        <f t="shared" si="28"/>
        <v>88.442151327761422</v>
      </c>
      <c r="BH178" s="3">
        <f t="shared" si="29"/>
        <v>22.586225963660528</v>
      </c>
      <c r="BI178" s="3">
        <f t="shared" si="30"/>
        <v>32.413774036339476</v>
      </c>
      <c r="BJ178" s="3">
        <f t="shared" si="22"/>
        <v>-0.36124320719578684</v>
      </c>
      <c r="BK178" s="3">
        <f t="shared" si="23"/>
        <v>-0.45609683602320777</v>
      </c>
      <c r="BL178" s="3">
        <f t="shared" si="24"/>
        <v>0.94333424358242735</v>
      </c>
      <c r="BM178" s="3">
        <f t="shared" si="25"/>
        <v>0.100551452968783</v>
      </c>
      <c r="BN178" s="3">
        <f t="shared" si="26"/>
        <v>51.005514529687829</v>
      </c>
      <c r="BO178" s="2" t="str">
        <f t="shared" si="27"/>
        <v>C+</v>
      </c>
    </row>
    <row r="179" spans="1:67" x14ac:dyDescent="0.35">
      <c r="A179" s="1">
        <v>178</v>
      </c>
      <c r="B179" s="10" t="s">
        <v>192</v>
      </c>
      <c r="C179" s="11">
        <v>28</v>
      </c>
      <c r="D179" s="11">
        <v>1</v>
      </c>
      <c r="E179" s="11">
        <v>1</v>
      </c>
      <c r="F179" s="11">
        <v>1</v>
      </c>
      <c r="G179" s="11">
        <v>1</v>
      </c>
      <c r="H179" s="11">
        <v>1</v>
      </c>
      <c r="I179" s="11">
        <v>1</v>
      </c>
      <c r="J179" s="11">
        <v>1</v>
      </c>
      <c r="K179" s="11">
        <v>1</v>
      </c>
      <c r="L179" s="11">
        <v>1</v>
      </c>
      <c r="M179" s="11">
        <v>1</v>
      </c>
      <c r="N179" s="11">
        <v>1</v>
      </c>
      <c r="O179" s="11">
        <v>1</v>
      </c>
      <c r="P179" s="11">
        <v>0</v>
      </c>
      <c r="Q179" s="11">
        <v>1</v>
      </c>
      <c r="R179" s="11">
        <v>1</v>
      </c>
      <c r="S179" s="11">
        <v>1</v>
      </c>
      <c r="T179" s="11">
        <v>0</v>
      </c>
      <c r="U179" s="11">
        <v>0</v>
      </c>
      <c r="V179" s="11">
        <v>1</v>
      </c>
      <c r="W179" s="11">
        <v>1</v>
      </c>
      <c r="X179" s="11">
        <v>0</v>
      </c>
      <c r="Y179" s="11">
        <v>1</v>
      </c>
      <c r="Z179" s="11">
        <v>0</v>
      </c>
      <c r="AA179" s="11">
        <v>0</v>
      </c>
      <c r="AB179" s="11">
        <v>0</v>
      </c>
      <c r="AC179" s="11">
        <v>1</v>
      </c>
      <c r="AD179" s="11">
        <v>0</v>
      </c>
      <c r="AE179" s="11">
        <v>1</v>
      </c>
      <c r="AF179" s="11">
        <v>0</v>
      </c>
      <c r="AG179" s="11">
        <v>0</v>
      </c>
      <c r="AH179" s="11">
        <v>1</v>
      </c>
      <c r="AI179" s="11">
        <v>0</v>
      </c>
      <c r="AJ179" s="11">
        <v>0</v>
      </c>
      <c r="AK179" s="11">
        <v>1</v>
      </c>
      <c r="AL179" s="11">
        <v>0</v>
      </c>
      <c r="AM179" s="11">
        <v>1</v>
      </c>
      <c r="AN179" s="11">
        <v>0</v>
      </c>
      <c r="AO179" s="11">
        <v>0</v>
      </c>
      <c r="AP179" s="11">
        <v>0</v>
      </c>
      <c r="AQ179" s="11">
        <v>1</v>
      </c>
      <c r="AR179" s="11">
        <v>1</v>
      </c>
      <c r="AS179" s="11">
        <v>0</v>
      </c>
      <c r="AT179" s="11">
        <v>1</v>
      </c>
      <c r="AU179" s="11">
        <v>0</v>
      </c>
      <c r="AV179" s="11">
        <v>0</v>
      </c>
      <c r="AW179" s="11">
        <v>1</v>
      </c>
      <c r="AX179" s="11">
        <v>0</v>
      </c>
      <c r="AY179" s="11">
        <v>0</v>
      </c>
      <c r="AZ179" s="11">
        <v>0</v>
      </c>
      <c r="BA179" s="11">
        <v>0</v>
      </c>
      <c r="BB179" s="11">
        <v>1</v>
      </c>
      <c r="BC179" s="11">
        <v>0</v>
      </c>
      <c r="BD179" s="11">
        <v>0</v>
      </c>
      <c r="BE179" s="11">
        <v>0</v>
      </c>
      <c r="BF179" s="11">
        <v>0</v>
      </c>
      <c r="BG179" s="5">
        <f t="shared" si="28"/>
        <v>88.235072734762426</v>
      </c>
      <c r="BH179" s="3">
        <f t="shared" si="29"/>
        <v>22.533342538466822</v>
      </c>
      <c r="BI179" s="3">
        <f t="shared" si="30"/>
        <v>32.466657461533174</v>
      </c>
      <c r="BJ179" s="3">
        <f t="shared" si="22"/>
        <v>-0.36521753556210074</v>
      </c>
      <c r="BK179" s="3">
        <f t="shared" si="23"/>
        <v>-0.45609683602320777</v>
      </c>
      <c r="BL179" s="3">
        <f t="shared" si="24"/>
        <v>0.94333424358242735</v>
      </c>
      <c r="BM179" s="3">
        <f t="shared" si="25"/>
        <v>9.6338388094533448E-2</v>
      </c>
      <c r="BN179" s="3">
        <f t="shared" si="26"/>
        <v>50.963383880945337</v>
      </c>
      <c r="BO179" s="2" t="str">
        <f t="shared" si="27"/>
        <v>C+</v>
      </c>
    </row>
    <row r="180" spans="1:67" x14ac:dyDescent="0.35">
      <c r="A180" s="15">
        <v>179</v>
      </c>
      <c r="B180" s="10" t="s">
        <v>193</v>
      </c>
      <c r="C180" s="11">
        <v>29</v>
      </c>
      <c r="D180" s="11">
        <v>1</v>
      </c>
      <c r="E180" s="11">
        <v>1</v>
      </c>
      <c r="F180" s="11">
        <v>1</v>
      </c>
      <c r="G180" s="11">
        <v>1</v>
      </c>
      <c r="H180" s="11">
        <v>1</v>
      </c>
      <c r="I180" s="11">
        <v>1</v>
      </c>
      <c r="J180" s="11">
        <v>1</v>
      </c>
      <c r="K180" s="11">
        <v>1</v>
      </c>
      <c r="L180" s="11">
        <v>1</v>
      </c>
      <c r="M180" s="11">
        <v>1</v>
      </c>
      <c r="N180" s="11">
        <v>1</v>
      </c>
      <c r="O180" s="11">
        <v>1</v>
      </c>
      <c r="P180" s="11">
        <v>1</v>
      </c>
      <c r="Q180" s="11">
        <v>1</v>
      </c>
      <c r="R180" s="11">
        <v>1</v>
      </c>
      <c r="S180" s="11">
        <v>1</v>
      </c>
      <c r="T180" s="11">
        <v>1</v>
      </c>
      <c r="U180" s="11">
        <v>1</v>
      </c>
      <c r="V180" s="11">
        <v>1</v>
      </c>
      <c r="W180" s="11">
        <v>1</v>
      </c>
      <c r="X180" s="11">
        <v>1</v>
      </c>
      <c r="Y180" s="11">
        <v>1</v>
      </c>
      <c r="Z180" s="11">
        <v>0</v>
      </c>
      <c r="AA180" s="11">
        <v>0</v>
      </c>
      <c r="AB180" s="11">
        <v>0</v>
      </c>
      <c r="AC180" s="11">
        <v>0</v>
      </c>
      <c r="AD180" s="11">
        <v>1</v>
      </c>
      <c r="AE180" s="11">
        <v>1</v>
      </c>
      <c r="AF180" s="11">
        <v>1</v>
      </c>
      <c r="AG180" s="11">
        <v>1</v>
      </c>
      <c r="AH180" s="11">
        <v>0</v>
      </c>
      <c r="AI180" s="11">
        <v>0</v>
      </c>
      <c r="AJ180" s="11">
        <v>1</v>
      </c>
      <c r="AK180" s="11">
        <v>0</v>
      </c>
      <c r="AL180" s="11">
        <v>0</v>
      </c>
      <c r="AM180" s="11">
        <v>1</v>
      </c>
      <c r="AN180" s="11">
        <v>1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5">
        <f t="shared" si="28"/>
        <v>88.114940104402493</v>
      </c>
      <c r="BH180" s="3">
        <f t="shared" si="29"/>
        <v>22.502663244779555</v>
      </c>
      <c r="BI180" s="3">
        <f t="shared" si="30"/>
        <v>32.497336755220445</v>
      </c>
      <c r="BJ180" s="3">
        <f t="shared" si="22"/>
        <v>-0.36752447134445071</v>
      </c>
      <c r="BK180" s="3">
        <f t="shared" si="23"/>
        <v>-0.45609683602320777</v>
      </c>
      <c r="BL180" s="3">
        <f t="shared" si="24"/>
        <v>0.94333424358242735</v>
      </c>
      <c r="BM180" s="3">
        <f t="shared" si="25"/>
        <v>9.3892875490656058E-2</v>
      </c>
      <c r="BN180" s="3">
        <f t="shared" si="26"/>
        <v>50.938928754906563</v>
      </c>
      <c r="BO180" s="2" t="str">
        <f t="shared" si="27"/>
        <v>C+</v>
      </c>
    </row>
    <row r="181" spans="1:67" x14ac:dyDescent="0.35">
      <c r="A181" s="15">
        <v>180</v>
      </c>
      <c r="B181" s="12">
        <v>2402007</v>
      </c>
      <c r="C181" s="11">
        <v>29</v>
      </c>
      <c r="D181" s="11">
        <v>1</v>
      </c>
      <c r="E181" s="11">
        <v>1</v>
      </c>
      <c r="F181" s="11">
        <v>1</v>
      </c>
      <c r="G181" s="11">
        <v>1</v>
      </c>
      <c r="H181" s="11">
        <v>1</v>
      </c>
      <c r="I181" s="11">
        <v>1</v>
      </c>
      <c r="J181" s="11">
        <v>1</v>
      </c>
      <c r="K181" s="11">
        <v>1</v>
      </c>
      <c r="L181" s="11">
        <v>1</v>
      </c>
      <c r="M181" s="11">
        <v>1</v>
      </c>
      <c r="N181" s="11">
        <v>1</v>
      </c>
      <c r="O181" s="11">
        <v>0</v>
      </c>
      <c r="P181" s="11">
        <v>1</v>
      </c>
      <c r="Q181" s="11">
        <v>1</v>
      </c>
      <c r="R181" s="11">
        <v>1</v>
      </c>
      <c r="S181" s="11">
        <v>0</v>
      </c>
      <c r="T181" s="11">
        <v>1</v>
      </c>
      <c r="U181" s="11">
        <v>1</v>
      </c>
      <c r="V181" s="11">
        <v>1</v>
      </c>
      <c r="W181" s="11">
        <v>1</v>
      </c>
      <c r="X181" s="11">
        <v>0</v>
      </c>
      <c r="Y181" s="11">
        <v>0</v>
      </c>
      <c r="Z181" s="11">
        <v>1</v>
      </c>
      <c r="AA181" s="11">
        <v>0</v>
      </c>
      <c r="AB181" s="11">
        <v>0</v>
      </c>
      <c r="AC181" s="11">
        <v>1</v>
      </c>
      <c r="AD181" s="11">
        <v>1</v>
      </c>
      <c r="AE181" s="11">
        <v>1</v>
      </c>
      <c r="AF181" s="11">
        <v>1</v>
      </c>
      <c r="AG181" s="11">
        <v>1</v>
      </c>
      <c r="AH181" s="11">
        <v>0</v>
      </c>
      <c r="AI181" s="11">
        <v>0</v>
      </c>
      <c r="AJ181" s="11">
        <v>1</v>
      </c>
      <c r="AK181" s="11">
        <v>1</v>
      </c>
      <c r="AL181" s="11">
        <v>1</v>
      </c>
      <c r="AM181" s="11">
        <v>1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1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5">
        <f t="shared" si="28"/>
        <v>88.019521481254031</v>
      </c>
      <c r="BH181" s="3">
        <f t="shared" si="29"/>
        <v>22.478295377747628</v>
      </c>
      <c r="BI181" s="3">
        <f t="shared" si="30"/>
        <v>32.521704622252372</v>
      </c>
      <c r="BJ181" s="3">
        <f t="shared" si="22"/>
        <v>-0.36935750720592636</v>
      </c>
      <c r="BK181" s="3">
        <f t="shared" si="23"/>
        <v>-0.45609683602320777</v>
      </c>
      <c r="BL181" s="3">
        <f t="shared" si="24"/>
        <v>0.94333424358242735</v>
      </c>
      <c r="BM181" s="3">
        <f t="shared" si="25"/>
        <v>9.1949729809317843E-2</v>
      </c>
      <c r="BN181" s="3">
        <f t="shared" si="26"/>
        <v>50.919497298093177</v>
      </c>
      <c r="BO181" s="2" t="str">
        <f t="shared" si="27"/>
        <v>C+</v>
      </c>
    </row>
    <row r="182" spans="1:67" x14ac:dyDescent="0.35">
      <c r="A182" s="1">
        <v>181</v>
      </c>
      <c r="B182" s="10" t="s">
        <v>194</v>
      </c>
      <c r="C182" s="11">
        <v>28</v>
      </c>
      <c r="D182" s="11">
        <v>0</v>
      </c>
      <c r="E182" s="11">
        <v>1</v>
      </c>
      <c r="F182" s="11">
        <v>1</v>
      </c>
      <c r="G182" s="11">
        <v>1</v>
      </c>
      <c r="H182" s="11">
        <v>1</v>
      </c>
      <c r="I182" s="11">
        <v>1</v>
      </c>
      <c r="J182" s="11">
        <v>1</v>
      </c>
      <c r="K182" s="11">
        <v>1</v>
      </c>
      <c r="L182" s="11">
        <v>1</v>
      </c>
      <c r="M182" s="11">
        <v>1</v>
      </c>
      <c r="N182" s="11">
        <v>1</v>
      </c>
      <c r="O182" s="11">
        <v>1</v>
      </c>
      <c r="P182" s="11">
        <v>0</v>
      </c>
      <c r="Q182" s="11">
        <v>1</v>
      </c>
      <c r="R182" s="11">
        <v>1</v>
      </c>
      <c r="S182" s="11">
        <v>1</v>
      </c>
      <c r="T182" s="11">
        <v>1</v>
      </c>
      <c r="U182" s="11">
        <v>1</v>
      </c>
      <c r="V182" s="11">
        <v>0</v>
      </c>
      <c r="W182" s="11">
        <v>0</v>
      </c>
      <c r="X182" s="11">
        <v>1</v>
      </c>
      <c r="Y182" s="11">
        <v>1</v>
      </c>
      <c r="Z182" s="11">
        <v>0</v>
      </c>
      <c r="AA182" s="11">
        <v>0</v>
      </c>
      <c r="AB182" s="11">
        <v>0</v>
      </c>
      <c r="AC182" s="11">
        <v>1</v>
      </c>
      <c r="AD182" s="11">
        <v>0</v>
      </c>
      <c r="AE182" s="11">
        <v>1</v>
      </c>
      <c r="AF182" s="11">
        <v>0</v>
      </c>
      <c r="AG182" s="11">
        <v>1</v>
      </c>
      <c r="AH182" s="11">
        <v>0</v>
      </c>
      <c r="AI182" s="11">
        <v>1</v>
      </c>
      <c r="AJ182" s="11">
        <v>1</v>
      </c>
      <c r="AK182" s="11">
        <v>0</v>
      </c>
      <c r="AL182" s="11">
        <v>1</v>
      </c>
      <c r="AM182" s="11">
        <v>1</v>
      </c>
      <c r="AN182" s="11">
        <v>1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1</v>
      </c>
      <c r="BB182" s="11">
        <v>1</v>
      </c>
      <c r="BC182" s="11">
        <v>0</v>
      </c>
      <c r="BD182" s="11">
        <v>0</v>
      </c>
      <c r="BE182" s="11">
        <v>0</v>
      </c>
      <c r="BF182" s="11">
        <v>0</v>
      </c>
      <c r="BG182" s="5">
        <f t="shared" si="28"/>
        <v>87.497815722593145</v>
      </c>
      <c r="BH182" s="3">
        <f t="shared" si="29"/>
        <v>22.345062931739058</v>
      </c>
      <c r="BI182" s="3">
        <f t="shared" si="30"/>
        <v>32.654937068260942</v>
      </c>
      <c r="BJ182" s="3">
        <f t="shared" si="22"/>
        <v>-0.37939065743340633</v>
      </c>
      <c r="BK182" s="3">
        <f t="shared" si="23"/>
        <v>-0.45609683602320777</v>
      </c>
      <c r="BL182" s="3">
        <f t="shared" si="24"/>
        <v>0.94333424358242735</v>
      </c>
      <c r="BM182" s="3">
        <f t="shared" si="25"/>
        <v>8.1313891774457733E-2</v>
      </c>
      <c r="BN182" s="3">
        <f t="shared" si="26"/>
        <v>50.813138917744574</v>
      </c>
      <c r="BO182" s="2" t="str">
        <f t="shared" si="27"/>
        <v>C+</v>
      </c>
    </row>
    <row r="183" spans="1:67" x14ac:dyDescent="0.35">
      <c r="A183" s="15">
        <v>182</v>
      </c>
      <c r="B183" s="10" t="s">
        <v>195</v>
      </c>
      <c r="C183" s="11">
        <v>26</v>
      </c>
      <c r="D183" s="11">
        <v>1</v>
      </c>
      <c r="E183" s="11">
        <v>1</v>
      </c>
      <c r="F183" s="11">
        <v>0</v>
      </c>
      <c r="G183" s="11">
        <v>1</v>
      </c>
      <c r="H183" s="11">
        <v>1</v>
      </c>
      <c r="I183" s="11">
        <v>0</v>
      </c>
      <c r="J183" s="11">
        <v>1</v>
      </c>
      <c r="K183" s="11">
        <v>1</v>
      </c>
      <c r="L183" s="11">
        <v>0</v>
      </c>
      <c r="M183" s="11">
        <v>0</v>
      </c>
      <c r="N183" s="11">
        <v>1</v>
      </c>
      <c r="O183" s="11">
        <v>1</v>
      </c>
      <c r="P183" s="11">
        <v>0</v>
      </c>
      <c r="Q183" s="11">
        <v>1</v>
      </c>
      <c r="R183" s="11">
        <v>1</v>
      </c>
      <c r="S183" s="11">
        <v>1</v>
      </c>
      <c r="T183" s="11">
        <v>0</v>
      </c>
      <c r="U183" s="11">
        <v>1</v>
      </c>
      <c r="V183" s="11">
        <v>0</v>
      </c>
      <c r="W183" s="11">
        <v>1</v>
      </c>
      <c r="X183" s="11">
        <v>1</v>
      </c>
      <c r="Y183" s="11">
        <v>0</v>
      </c>
      <c r="Z183" s="11">
        <v>1</v>
      </c>
      <c r="AA183" s="11">
        <v>0</v>
      </c>
      <c r="AB183" s="11">
        <v>0</v>
      </c>
      <c r="AC183" s="11">
        <v>1</v>
      </c>
      <c r="AD183" s="11">
        <v>1</v>
      </c>
      <c r="AE183" s="11">
        <v>0</v>
      </c>
      <c r="AF183" s="11">
        <v>1</v>
      </c>
      <c r="AG183" s="11">
        <v>0</v>
      </c>
      <c r="AH183" s="11">
        <v>0</v>
      </c>
      <c r="AI183" s="11">
        <v>1</v>
      </c>
      <c r="AJ183" s="11">
        <v>1</v>
      </c>
      <c r="AK183" s="11">
        <v>1</v>
      </c>
      <c r="AL183" s="11">
        <v>1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1</v>
      </c>
      <c r="AT183" s="11">
        <v>0</v>
      </c>
      <c r="AU183" s="11">
        <v>0</v>
      </c>
      <c r="AV183" s="11">
        <v>0</v>
      </c>
      <c r="AW183" s="11">
        <v>1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1</v>
      </c>
      <c r="BD183" s="11">
        <v>1</v>
      </c>
      <c r="BE183" s="11">
        <v>0</v>
      </c>
      <c r="BF183" s="11">
        <v>0</v>
      </c>
      <c r="BG183" s="5">
        <f t="shared" si="28"/>
        <v>86.967408021333839</v>
      </c>
      <c r="BH183" s="3">
        <f t="shared" si="29"/>
        <v>22.209608196483785</v>
      </c>
      <c r="BI183" s="3">
        <f t="shared" si="30"/>
        <v>32.790391803516215</v>
      </c>
      <c r="BJ183" s="3">
        <f t="shared" si="22"/>
        <v>-0.38961054276724016</v>
      </c>
      <c r="BK183" s="3">
        <f t="shared" si="23"/>
        <v>-0.45609683602320777</v>
      </c>
      <c r="BL183" s="3">
        <f t="shared" si="24"/>
        <v>0.94333424358242735</v>
      </c>
      <c r="BM183" s="3">
        <f t="shared" si="25"/>
        <v>7.0480101521044933E-2</v>
      </c>
      <c r="BN183" s="3">
        <f t="shared" si="26"/>
        <v>50.70480101521045</v>
      </c>
      <c r="BO183" s="2" t="str">
        <f t="shared" si="27"/>
        <v>C+</v>
      </c>
    </row>
    <row r="184" spans="1:67" x14ac:dyDescent="0.35">
      <c r="A184" s="15">
        <v>183</v>
      </c>
      <c r="B184" s="12">
        <v>1042018</v>
      </c>
      <c r="C184" s="11">
        <v>26</v>
      </c>
      <c r="D184" s="11">
        <v>1</v>
      </c>
      <c r="E184" s="11">
        <v>1</v>
      </c>
      <c r="F184" s="11">
        <v>1</v>
      </c>
      <c r="G184" s="11">
        <v>1</v>
      </c>
      <c r="H184" s="11">
        <v>1</v>
      </c>
      <c r="I184" s="11">
        <v>0</v>
      </c>
      <c r="J184" s="11">
        <v>1</v>
      </c>
      <c r="K184" s="11">
        <v>1</v>
      </c>
      <c r="L184" s="11">
        <v>0</v>
      </c>
      <c r="M184" s="11">
        <v>1</v>
      </c>
      <c r="N184" s="11">
        <v>0</v>
      </c>
      <c r="O184" s="11">
        <v>1</v>
      </c>
      <c r="P184" s="11">
        <v>1</v>
      </c>
      <c r="Q184" s="11">
        <v>1</v>
      </c>
      <c r="R184" s="11">
        <v>0</v>
      </c>
      <c r="S184" s="11">
        <v>0</v>
      </c>
      <c r="T184" s="11">
        <v>0</v>
      </c>
      <c r="U184" s="11">
        <v>1</v>
      </c>
      <c r="V184" s="11">
        <v>0</v>
      </c>
      <c r="W184" s="11">
        <v>0</v>
      </c>
      <c r="X184" s="11">
        <v>1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1</v>
      </c>
      <c r="AF184" s="11">
        <v>1</v>
      </c>
      <c r="AG184" s="11">
        <v>1</v>
      </c>
      <c r="AH184" s="11">
        <v>1</v>
      </c>
      <c r="AI184" s="11">
        <v>1</v>
      </c>
      <c r="AJ184" s="11">
        <v>1</v>
      </c>
      <c r="AK184" s="11">
        <v>0</v>
      </c>
      <c r="AL184" s="11">
        <v>1</v>
      </c>
      <c r="AM184" s="11">
        <v>1</v>
      </c>
      <c r="AN184" s="11">
        <v>0</v>
      </c>
      <c r="AO184" s="11">
        <v>0</v>
      </c>
      <c r="AP184" s="11">
        <v>0</v>
      </c>
      <c r="AQ184" s="11">
        <v>1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1</v>
      </c>
      <c r="AX184" s="11">
        <v>1</v>
      </c>
      <c r="AY184" s="11">
        <v>0</v>
      </c>
      <c r="AZ184" s="11">
        <v>0</v>
      </c>
      <c r="BA184" s="11">
        <v>1</v>
      </c>
      <c r="BB184" s="11">
        <v>1</v>
      </c>
      <c r="BC184" s="11">
        <v>0</v>
      </c>
      <c r="BD184" s="11">
        <v>0</v>
      </c>
      <c r="BE184" s="11">
        <v>0</v>
      </c>
      <c r="BF184" s="11">
        <v>0</v>
      </c>
      <c r="BG184" s="5">
        <f t="shared" si="28"/>
        <v>86.698600642323157</v>
      </c>
      <c r="BH184" s="3">
        <f t="shared" si="29"/>
        <v>22.14096056510116</v>
      </c>
      <c r="BI184" s="3">
        <f t="shared" si="30"/>
        <v>32.85903943489884</v>
      </c>
      <c r="BJ184" s="3">
        <f t="shared" si="22"/>
        <v>-0.39479756783679665</v>
      </c>
      <c r="BK184" s="3">
        <f t="shared" si="23"/>
        <v>-0.45609683602320777</v>
      </c>
      <c r="BL184" s="3">
        <f t="shared" si="24"/>
        <v>0.94333424358242735</v>
      </c>
      <c r="BM184" s="3">
        <f t="shared" si="25"/>
        <v>6.4981493678867894E-2</v>
      </c>
      <c r="BN184" s="3">
        <f t="shared" si="26"/>
        <v>50.64981493678868</v>
      </c>
      <c r="BO184" s="2" t="str">
        <f t="shared" si="27"/>
        <v>C+</v>
      </c>
    </row>
    <row r="185" spans="1:67" x14ac:dyDescent="0.35">
      <c r="A185" s="1">
        <v>184</v>
      </c>
      <c r="B185" s="10" t="s">
        <v>196</v>
      </c>
      <c r="C185" s="11">
        <v>28</v>
      </c>
      <c r="D185" s="11">
        <v>1</v>
      </c>
      <c r="E185" s="11">
        <v>1</v>
      </c>
      <c r="F185" s="11">
        <v>1</v>
      </c>
      <c r="G185" s="11">
        <v>1</v>
      </c>
      <c r="H185" s="11">
        <v>1</v>
      </c>
      <c r="I185" s="11">
        <v>1</v>
      </c>
      <c r="J185" s="11">
        <v>1</v>
      </c>
      <c r="K185" s="11">
        <v>1</v>
      </c>
      <c r="L185" s="11">
        <v>1</v>
      </c>
      <c r="M185" s="11">
        <v>1</v>
      </c>
      <c r="N185" s="11">
        <v>0</v>
      </c>
      <c r="O185" s="11">
        <v>1</v>
      </c>
      <c r="P185" s="11">
        <v>0</v>
      </c>
      <c r="Q185" s="11">
        <v>1</v>
      </c>
      <c r="R185" s="11">
        <v>0</v>
      </c>
      <c r="S185" s="11">
        <v>1</v>
      </c>
      <c r="T185" s="11">
        <v>1</v>
      </c>
      <c r="U185" s="11">
        <v>0</v>
      </c>
      <c r="V185" s="11">
        <v>1</v>
      </c>
      <c r="W185" s="11">
        <v>1</v>
      </c>
      <c r="X185" s="11">
        <v>0</v>
      </c>
      <c r="Y185" s="11">
        <v>0</v>
      </c>
      <c r="Z185" s="11">
        <v>0</v>
      </c>
      <c r="AA185" s="11">
        <v>1</v>
      </c>
      <c r="AB185" s="11">
        <v>0</v>
      </c>
      <c r="AC185" s="11">
        <v>1</v>
      </c>
      <c r="AD185" s="11">
        <v>0</v>
      </c>
      <c r="AE185" s="11">
        <v>0</v>
      </c>
      <c r="AF185" s="11">
        <v>1</v>
      </c>
      <c r="AG185" s="11">
        <v>1</v>
      </c>
      <c r="AH185" s="11">
        <v>1</v>
      </c>
      <c r="AI185" s="11">
        <v>1</v>
      </c>
      <c r="AJ185" s="11">
        <v>1</v>
      </c>
      <c r="AK185" s="11">
        <v>1</v>
      </c>
      <c r="AL185" s="11">
        <v>1</v>
      </c>
      <c r="AM185" s="11">
        <v>1</v>
      </c>
      <c r="AN185" s="11">
        <v>1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1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5">
        <f t="shared" si="28"/>
        <v>86.638993803081007</v>
      </c>
      <c r="BH185" s="3">
        <f t="shared" si="29"/>
        <v>22.125738258543812</v>
      </c>
      <c r="BI185" s="3">
        <f t="shared" si="30"/>
        <v>32.874261741456188</v>
      </c>
      <c r="BJ185" s="3">
        <f t="shared" si="22"/>
        <v>-0.39594847575701869</v>
      </c>
      <c r="BK185" s="3">
        <f t="shared" si="23"/>
        <v>-0.45609683602320777</v>
      </c>
      <c r="BL185" s="3">
        <f t="shared" si="24"/>
        <v>0.94333424358242735</v>
      </c>
      <c r="BM185" s="3">
        <f t="shared" si="25"/>
        <v>6.3761451124437415E-2</v>
      </c>
      <c r="BN185" s="3">
        <f t="shared" si="26"/>
        <v>50.637614511244372</v>
      </c>
      <c r="BO185" s="2" t="str">
        <f t="shared" si="27"/>
        <v>C+</v>
      </c>
    </row>
    <row r="186" spans="1:67" x14ac:dyDescent="0.35">
      <c r="A186" s="15">
        <v>185</v>
      </c>
      <c r="B186" s="10" t="s">
        <v>197</v>
      </c>
      <c r="C186" s="11">
        <v>26</v>
      </c>
      <c r="D186" s="11">
        <v>1</v>
      </c>
      <c r="E186" s="11">
        <v>1</v>
      </c>
      <c r="F186" s="11">
        <v>1</v>
      </c>
      <c r="G186" s="11">
        <v>1</v>
      </c>
      <c r="H186" s="11">
        <v>0</v>
      </c>
      <c r="I186" s="11">
        <v>0</v>
      </c>
      <c r="J186" s="11">
        <v>1</v>
      </c>
      <c r="K186" s="11">
        <v>1</v>
      </c>
      <c r="L186" s="11">
        <v>1</v>
      </c>
      <c r="M186" s="11">
        <v>0</v>
      </c>
      <c r="N186" s="11">
        <v>0</v>
      </c>
      <c r="O186" s="11">
        <v>1</v>
      </c>
      <c r="P186" s="11">
        <v>0</v>
      </c>
      <c r="Q186" s="11">
        <v>1</v>
      </c>
      <c r="R186" s="11">
        <v>0</v>
      </c>
      <c r="S186" s="11">
        <v>1</v>
      </c>
      <c r="T186" s="11">
        <v>1</v>
      </c>
      <c r="U186" s="11">
        <v>0</v>
      </c>
      <c r="V186" s="11">
        <v>0</v>
      </c>
      <c r="W186" s="11">
        <v>1</v>
      </c>
      <c r="X186" s="11">
        <v>0</v>
      </c>
      <c r="Y186" s="11">
        <v>1</v>
      </c>
      <c r="Z186" s="11">
        <v>1</v>
      </c>
      <c r="AA186" s="11">
        <v>1</v>
      </c>
      <c r="AB186" s="11">
        <v>0</v>
      </c>
      <c r="AC186" s="11">
        <v>1</v>
      </c>
      <c r="AD186" s="11">
        <v>0</v>
      </c>
      <c r="AE186" s="11">
        <v>1</v>
      </c>
      <c r="AF186" s="11">
        <v>0</v>
      </c>
      <c r="AG186" s="11">
        <v>1</v>
      </c>
      <c r="AH186" s="11">
        <v>1</v>
      </c>
      <c r="AI186" s="11">
        <v>0</v>
      </c>
      <c r="AJ186" s="11">
        <v>1</v>
      </c>
      <c r="AK186" s="11">
        <v>1</v>
      </c>
      <c r="AL186" s="11">
        <v>1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1</v>
      </c>
      <c r="AT186" s="11">
        <v>0</v>
      </c>
      <c r="AU186" s="11">
        <v>0</v>
      </c>
      <c r="AV186" s="11">
        <v>0</v>
      </c>
      <c r="AW186" s="11">
        <v>1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1</v>
      </c>
      <c r="BD186" s="11">
        <v>1</v>
      </c>
      <c r="BE186" s="11">
        <v>0</v>
      </c>
      <c r="BF186" s="11">
        <v>0</v>
      </c>
      <c r="BG186" s="5">
        <f t="shared" si="28"/>
        <v>86.191720857766356</v>
      </c>
      <c r="BH186" s="3">
        <f t="shared" si="29"/>
        <v>22.011514354459088</v>
      </c>
      <c r="BI186" s="3">
        <f t="shared" si="30"/>
        <v>32.988485645540912</v>
      </c>
      <c r="BJ186" s="3">
        <f t="shared" si="22"/>
        <v>-0.40459288455665238</v>
      </c>
      <c r="BK186" s="3">
        <f t="shared" si="23"/>
        <v>-0.45609683602320777</v>
      </c>
      <c r="BL186" s="3">
        <f t="shared" si="24"/>
        <v>0.94333424358242735</v>
      </c>
      <c r="BM186" s="3">
        <f t="shared" si="25"/>
        <v>5.45977757268334E-2</v>
      </c>
      <c r="BN186" s="3">
        <f t="shared" si="26"/>
        <v>50.545977757268332</v>
      </c>
      <c r="BO186" s="2" t="str">
        <f t="shared" si="27"/>
        <v>C+</v>
      </c>
    </row>
    <row r="187" spans="1:67" x14ac:dyDescent="0.35">
      <c r="A187" s="15">
        <v>186</v>
      </c>
      <c r="B187" s="12">
        <v>744007</v>
      </c>
      <c r="C187" s="11">
        <v>27</v>
      </c>
      <c r="D187" s="11">
        <v>0</v>
      </c>
      <c r="E187" s="11">
        <v>1</v>
      </c>
      <c r="F187" s="11">
        <v>1</v>
      </c>
      <c r="G187" s="11">
        <v>1</v>
      </c>
      <c r="H187" s="11">
        <v>1</v>
      </c>
      <c r="I187" s="11">
        <v>1</v>
      </c>
      <c r="J187" s="11">
        <v>1</v>
      </c>
      <c r="K187" s="11">
        <v>1</v>
      </c>
      <c r="L187" s="11">
        <v>0</v>
      </c>
      <c r="M187" s="11">
        <v>1</v>
      </c>
      <c r="N187" s="11">
        <v>1</v>
      </c>
      <c r="O187" s="11">
        <v>1</v>
      </c>
      <c r="P187" s="11">
        <v>0</v>
      </c>
      <c r="Q187" s="11">
        <v>1</v>
      </c>
      <c r="R187" s="11">
        <v>0</v>
      </c>
      <c r="S187" s="11">
        <v>1</v>
      </c>
      <c r="T187" s="11">
        <v>1</v>
      </c>
      <c r="U187" s="11">
        <v>1</v>
      </c>
      <c r="V187" s="11">
        <v>0</v>
      </c>
      <c r="W187" s="11">
        <v>1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1</v>
      </c>
      <c r="AD187" s="11">
        <v>0</v>
      </c>
      <c r="AE187" s="11">
        <v>0</v>
      </c>
      <c r="AF187" s="11">
        <v>0</v>
      </c>
      <c r="AG187" s="11">
        <v>1</v>
      </c>
      <c r="AH187" s="11">
        <v>1</v>
      </c>
      <c r="AI187" s="11">
        <v>0</v>
      </c>
      <c r="AJ187" s="11">
        <v>1</v>
      </c>
      <c r="AK187" s="11">
        <v>1</v>
      </c>
      <c r="AL187" s="11">
        <v>1</v>
      </c>
      <c r="AM187" s="11">
        <v>1</v>
      </c>
      <c r="AN187" s="11">
        <v>0</v>
      </c>
      <c r="AO187" s="11">
        <v>0</v>
      </c>
      <c r="AP187" s="11">
        <v>0</v>
      </c>
      <c r="AQ187" s="11">
        <v>1</v>
      </c>
      <c r="AR187" s="11">
        <v>1</v>
      </c>
      <c r="AS187" s="11">
        <v>0</v>
      </c>
      <c r="AT187" s="11">
        <v>1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1</v>
      </c>
      <c r="BD187" s="11">
        <v>1</v>
      </c>
      <c r="BE187" s="11">
        <v>0</v>
      </c>
      <c r="BF187" s="11">
        <v>0</v>
      </c>
      <c r="BG187" s="5">
        <f t="shared" si="28"/>
        <v>85.649876268532338</v>
      </c>
      <c r="BH187" s="3">
        <f t="shared" si="29"/>
        <v>21.873138883646849</v>
      </c>
      <c r="BI187" s="3">
        <f t="shared" si="30"/>
        <v>33.126861116353155</v>
      </c>
      <c r="BJ187" s="3">
        <f t="shared" si="22"/>
        <v>-0.41508511835322393</v>
      </c>
      <c r="BK187" s="3">
        <f t="shared" si="23"/>
        <v>-0.45609683602320777</v>
      </c>
      <c r="BL187" s="3">
        <f t="shared" si="24"/>
        <v>0.94333424358242735</v>
      </c>
      <c r="BM187" s="3">
        <f t="shared" si="25"/>
        <v>4.3475277134260311E-2</v>
      </c>
      <c r="BN187" s="3">
        <f t="shared" si="26"/>
        <v>50.434752771342602</v>
      </c>
      <c r="BO187" s="2" t="str">
        <f t="shared" si="27"/>
        <v>C+</v>
      </c>
    </row>
    <row r="188" spans="1:67" x14ac:dyDescent="0.35">
      <c r="A188" s="1">
        <v>187</v>
      </c>
      <c r="B188" s="10" t="s">
        <v>198</v>
      </c>
      <c r="C188" s="11">
        <v>27</v>
      </c>
      <c r="D188" s="11">
        <v>1</v>
      </c>
      <c r="E188" s="11">
        <v>1</v>
      </c>
      <c r="F188" s="11">
        <v>1</v>
      </c>
      <c r="G188" s="11">
        <v>1</v>
      </c>
      <c r="H188" s="11">
        <v>1</v>
      </c>
      <c r="I188" s="11">
        <v>1</v>
      </c>
      <c r="J188" s="11">
        <v>1</v>
      </c>
      <c r="K188" s="11">
        <v>1</v>
      </c>
      <c r="L188" s="11">
        <v>1</v>
      </c>
      <c r="M188" s="11">
        <v>1</v>
      </c>
      <c r="N188" s="11">
        <v>1</v>
      </c>
      <c r="O188" s="11">
        <v>1</v>
      </c>
      <c r="P188" s="11">
        <v>0</v>
      </c>
      <c r="Q188" s="11">
        <v>1</v>
      </c>
      <c r="R188" s="11">
        <v>1</v>
      </c>
      <c r="S188" s="11">
        <v>1</v>
      </c>
      <c r="T188" s="11">
        <v>1</v>
      </c>
      <c r="U188" s="11">
        <v>1</v>
      </c>
      <c r="V188" s="11">
        <v>1</v>
      </c>
      <c r="W188" s="11">
        <v>1</v>
      </c>
      <c r="X188" s="11">
        <v>0</v>
      </c>
      <c r="Y188" s="11">
        <v>0</v>
      </c>
      <c r="Z188" s="11">
        <v>0</v>
      </c>
      <c r="AA188" s="11">
        <v>0</v>
      </c>
      <c r="AB188" s="11">
        <v>1</v>
      </c>
      <c r="AC188" s="11">
        <v>0</v>
      </c>
      <c r="AD188" s="11">
        <v>0</v>
      </c>
      <c r="AE188" s="11">
        <v>1</v>
      </c>
      <c r="AF188" s="11">
        <v>0</v>
      </c>
      <c r="AG188" s="11">
        <v>1</v>
      </c>
      <c r="AH188" s="11">
        <v>1</v>
      </c>
      <c r="AI188" s="11">
        <v>0</v>
      </c>
      <c r="AJ188" s="11">
        <v>0</v>
      </c>
      <c r="AK188" s="11">
        <v>1</v>
      </c>
      <c r="AL188" s="11">
        <v>0</v>
      </c>
      <c r="AM188" s="11">
        <v>0</v>
      </c>
      <c r="AN188" s="11">
        <v>0</v>
      </c>
      <c r="AO188" s="11">
        <v>1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1</v>
      </c>
      <c r="AV188" s="11">
        <v>1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5">
        <f t="shared" si="28"/>
        <v>85.307009576381859</v>
      </c>
      <c r="BH188" s="3">
        <f t="shared" si="29"/>
        <v>21.785578094271379</v>
      </c>
      <c r="BI188" s="3">
        <f t="shared" si="30"/>
        <v>33.214421905728621</v>
      </c>
      <c r="BJ188" s="3">
        <f t="shared" si="22"/>
        <v>-0.42173598078910074</v>
      </c>
      <c r="BK188" s="3">
        <f t="shared" si="23"/>
        <v>-0.45609683602320777</v>
      </c>
      <c r="BL188" s="3">
        <f t="shared" si="24"/>
        <v>0.94333424358242735</v>
      </c>
      <c r="BM188" s="3">
        <f t="shared" si="25"/>
        <v>3.6424899729726207E-2</v>
      </c>
      <c r="BN188" s="3">
        <f t="shared" si="26"/>
        <v>50.36424899729726</v>
      </c>
      <c r="BO188" s="2" t="str">
        <f t="shared" si="27"/>
        <v>C+</v>
      </c>
    </row>
    <row r="189" spans="1:67" x14ac:dyDescent="0.35">
      <c r="A189" s="15">
        <v>188</v>
      </c>
      <c r="B189" s="10" t="s">
        <v>199</v>
      </c>
      <c r="C189" s="11">
        <v>25</v>
      </c>
      <c r="D189" s="11">
        <v>0</v>
      </c>
      <c r="E189" s="11">
        <v>0</v>
      </c>
      <c r="F189" s="11">
        <v>1</v>
      </c>
      <c r="G189" s="11">
        <v>1</v>
      </c>
      <c r="H189" s="11">
        <v>0</v>
      </c>
      <c r="I189" s="11">
        <v>1</v>
      </c>
      <c r="J189" s="11">
        <v>0</v>
      </c>
      <c r="K189" s="11">
        <v>1</v>
      </c>
      <c r="L189" s="11">
        <v>1</v>
      </c>
      <c r="M189" s="11">
        <v>1</v>
      </c>
      <c r="N189" s="11">
        <v>1</v>
      </c>
      <c r="O189" s="11">
        <v>1</v>
      </c>
      <c r="P189" s="11">
        <v>0</v>
      </c>
      <c r="Q189" s="11">
        <v>0</v>
      </c>
      <c r="R189" s="11">
        <v>1</v>
      </c>
      <c r="S189" s="11">
        <v>1</v>
      </c>
      <c r="T189" s="11">
        <v>0</v>
      </c>
      <c r="U189" s="11">
        <v>0</v>
      </c>
      <c r="V189" s="11">
        <v>1</v>
      </c>
      <c r="W189" s="11">
        <v>1</v>
      </c>
      <c r="X189" s="11">
        <v>1</v>
      </c>
      <c r="Y189" s="11">
        <v>1</v>
      </c>
      <c r="Z189" s="11">
        <v>1</v>
      </c>
      <c r="AA189" s="11">
        <v>1</v>
      </c>
      <c r="AB189" s="11">
        <v>1</v>
      </c>
      <c r="AC189" s="11">
        <v>0</v>
      </c>
      <c r="AD189" s="11">
        <v>1</v>
      </c>
      <c r="AE189" s="11">
        <v>1</v>
      </c>
      <c r="AF189" s="11">
        <v>1</v>
      </c>
      <c r="AG189" s="11">
        <v>1</v>
      </c>
      <c r="AH189" s="11">
        <v>0</v>
      </c>
      <c r="AI189" s="11">
        <v>0</v>
      </c>
      <c r="AJ189" s="11">
        <v>1</v>
      </c>
      <c r="AK189" s="11">
        <v>1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1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1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5">
        <f t="shared" si="28"/>
        <v>85.287931758618456</v>
      </c>
      <c r="BH189" s="3">
        <f t="shared" si="29"/>
        <v>21.78070602935178</v>
      </c>
      <c r="BI189" s="3">
        <f t="shared" si="30"/>
        <v>33.219293970648224</v>
      </c>
      <c r="BJ189" s="3">
        <f t="shared" si="22"/>
        <v>-0.42210631743131405</v>
      </c>
      <c r="BK189" s="3">
        <f t="shared" si="23"/>
        <v>-0.45609683602320777</v>
      </c>
      <c r="BL189" s="3">
        <f t="shared" si="24"/>
        <v>0.94333424358242735</v>
      </c>
      <c r="BM189" s="3">
        <f t="shared" si="25"/>
        <v>3.6032317095593361E-2</v>
      </c>
      <c r="BN189" s="3">
        <f t="shared" si="26"/>
        <v>50.360323170955937</v>
      </c>
      <c r="BO189" s="2" t="str">
        <f t="shared" si="27"/>
        <v>C+</v>
      </c>
    </row>
    <row r="190" spans="1:67" x14ac:dyDescent="0.35">
      <c r="A190" s="15">
        <v>189</v>
      </c>
      <c r="B190" s="12">
        <v>2282008</v>
      </c>
      <c r="C190" s="11">
        <v>27</v>
      </c>
      <c r="D190" s="11">
        <v>1</v>
      </c>
      <c r="E190" s="11">
        <v>1</v>
      </c>
      <c r="F190" s="11">
        <v>0</v>
      </c>
      <c r="G190" s="11">
        <v>1</v>
      </c>
      <c r="H190" s="11">
        <v>1</v>
      </c>
      <c r="I190" s="11">
        <v>1</v>
      </c>
      <c r="J190" s="11">
        <v>1</v>
      </c>
      <c r="K190" s="11">
        <v>1</v>
      </c>
      <c r="L190" s="11">
        <v>0</v>
      </c>
      <c r="M190" s="11">
        <v>1</v>
      </c>
      <c r="N190" s="11">
        <v>1</v>
      </c>
      <c r="O190" s="11">
        <v>1</v>
      </c>
      <c r="P190" s="11">
        <v>1</v>
      </c>
      <c r="Q190" s="11">
        <v>1</v>
      </c>
      <c r="R190" s="11">
        <v>0</v>
      </c>
      <c r="S190" s="11">
        <v>1</v>
      </c>
      <c r="T190" s="11">
        <v>1</v>
      </c>
      <c r="U190" s="11">
        <v>0</v>
      </c>
      <c r="V190" s="11">
        <v>0</v>
      </c>
      <c r="W190" s="11">
        <v>0</v>
      </c>
      <c r="X190" s="11">
        <v>0</v>
      </c>
      <c r="Y190" s="11">
        <v>1</v>
      </c>
      <c r="Z190" s="11">
        <v>0</v>
      </c>
      <c r="AA190" s="11">
        <v>1</v>
      </c>
      <c r="AB190" s="11">
        <v>0</v>
      </c>
      <c r="AC190" s="11">
        <v>1</v>
      </c>
      <c r="AD190" s="11">
        <v>0</v>
      </c>
      <c r="AE190" s="11">
        <v>1</v>
      </c>
      <c r="AF190" s="11">
        <v>1</v>
      </c>
      <c r="AG190" s="11">
        <v>1</v>
      </c>
      <c r="AH190" s="11">
        <v>1</v>
      </c>
      <c r="AI190" s="11">
        <v>1</v>
      </c>
      <c r="AJ190" s="11">
        <v>1</v>
      </c>
      <c r="AK190" s="11">
        <v>1</v>
      </c>
      <c r="AL190" s="11">
        <v>1</v>
      </c>
      <c r="AM190" s="11">
        <v>0</v>
      </c>
      <c r="AN190" s="11">
        <v>0</v>
      </c>
      <c r="AO190" s="11">
        <v>1</v>
      </c>
      <c r="AP190" s="11">
        <v>0</v>
      </c>
      <c r="AQ190" s="11">
        <v>1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5">
        <f t="shared" si="28"/>
        <v>85.032152611642999</v>
      </c>
      <c r="BH190" s="3">
        <f t="shared" si="29"/>
        <v>21.715385528621642</v>
      </c>
      <c r="BI190" s="3">
        <f t="shared" si="30"/>
        <v>33.284614471378362</v>
      </c>
      <c r="BJ190" s="3">
        <f t="shared" si="22"/>
        <v>-0.42707424247934478</v>
      </c>
      <c r="BK190" s="3">
        <f t="shared" si="23"/>
        <v>-0.45609683602320777</v>
      </c>
      <c r="BL190" s="3">
        <f t="shared" si="24"/>
        <v>0.94333424358242735</v>
      </c>
      <c r="BM190" s="3">
        <f t="shared" si="25"/>
        <v>3.0765970536218573E-2</v>
      </c>
      <c r="BN190" s="3">
        <f t="shared" si="26"/>
        <v>50.307659705362184</v>
      </c>
      <c r="BO190" s="2" t="str">
        <f t="shared" si="27"/>
        <v>C+</v>
      </c>
    </row>
    <row r="191" spans="1:67" x14ac:dyDescent="0.35">
      <c r="A191" s="1">
        <v>190</v>
      </c>
      <c r="B191" s="10" t="s">
        <v>200</v>
      </c>
      <c r="C191" s="11">
        <v>27</v>
      </c>
      <c r="D191" s="11">
        <v>1</v>
      </c>
      <c r="E191" s="11">
        <v>1</v>
      </c>
      <c r="F191" s="11">
        <v>1</v>
      </c>
      <c r="G191" s="11">
        <v>1</v>
      </c>
      <c r="H191" s="11">
        <v>1</v>
      </c>
      <c r="I191" s="11">
        <v>1</v>
      </c>
      <c r="J191" s="11">
        <v>0</v>
      </c>
      <c r="K191" s="11">
        <v>1</v>
      </c>
      <c r="L191" s="11">
        <v>1</v>
      </c>
      <c r="M191" s="11">
        <v>1</v>
      </c>
      <c r="N191" s="11">
        <v>0</v>
      </c>
      <c r="O191" s="11">
        <v>1</v>
      </c>
      <c r="P191" s="11">
        <v>0</v>
      </c>
      <c r="Q191" s="11">
        <v>1</v>
      </c>
      <c r="R191" s="11">
        <v>0</v>
      </c>
      <c r="S191" s="11">
        <v>1</v>
      </c>
      <c r="T191" s="11">
        <v>0</v>
      </c>
      <c r="U191" s="11">
        <v>1</v>
      </c>
      <c r="V191" s="11">
        <v>0</v>
      </c>
      <c r="W191" s="11">
        <v>1</v>
      </c>
      <c r="X191" s="11">
        <v>0</v>
      </c>
      <c r="Y191" s="11">
        <v>1</v>
      </c>
      <c r="Z191" s="11">
        <v>1</v>
      </c>
      <c r="AA191" s="11">
        <v>0</v>
      </c>
      <c r="AB191" s="11">
        <v>1</v>
      </c>
      <c r="AC191" s="11">
        <v>1</v>
      </c>
      <c r="AD191" s="11">
        <v>1</v>
      </c>
      <c r="AE191" s="11">
        <v>1</v>
      </c>
      <c r="AF191" s="11">
        <v>1</v>
      </c>
      <c r="AG191" s="11">
        <v>1</v>
      </c>
      <c r="AH191" s="11">
        <v>0</v>
      </c>
      <c r="AI191" s="11">
        <v>0</v>
      </c>
      <c r="AJ191" s="11">
        <v>1</v>
      </c>
      <c r="AK191" s="11">
        <v>1</v>
      </c>
      <c r="AL191" s="11">
        <v>1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1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1</v>
      </c>
      <c r="BE191" s="11">
        <v>0</v>
      </c>
      <c r="BF191" s="11">
        <v>0</v>
      </c>
      <c r="BG191" s="5">
        <f t="shared" si="28"/>
        <v>84.989354740364632</v>
      </c>
      <c r="BH191" s="3">
        <f t="shared" si="29"/>
        <v>21.704455871473495</v>
      </c>
      <c r="BI191" s="3">
        <f t="shared" si="30"/>
        <v>33.295544128526501</v>
      </c>
      <c r="BJ191" s="3">
        <f t="shared" si="22"/>
        <v>-0.42790599891254555</v>
      </c>
      <c r="BK191" s="3">
        <f t="shared" si="23"/>
        <v>-0.45609683602320777</v>
      </c>
      <c r="BL191" s="3">
        <f t="shared" si="24"/>
        <v>0.94333424358242735</v>
      </c>
      <c r="BM191" s="3">
        <f t="shared" si="25"/>
        <v>2.9884250786448786E-2</v>
      </c>
      <c r="BN191" s="3">
        <f t="shared" si="26"/>
        <v>50.298842507864485</v>
      </c>
      <c r="BO191" s="2" t="str">
        <f t="shared" si="27"/>
        <v>C+</v>
      </c>
    </row>
    <row r="192" spans="1:67" x14ac:dyDescent="0.35">
      <c r="A192" s="15">
        <v>191</v>
      </c>
      <c r="B192" s="10" t="s">
        <v>201</v>
      </c>
      <c r="C192" s="11">
        <v>28</v>
      </c>
      <c r="D192" s="11">
        <v>1</v>
      </c>
      <c r="E192" s="11">
        <v>1</v>
      </c>
      <c r="F192" s="11">
        <v>1</v>
      </c>
      <c r="G192" s="11">
        <v>1</v>
      </c>
      <c r="H192" s="11">
        <v>1</v>
      </c>
      <c r="I192" s="11">
        <v>1</v>
      </c>
      <c r="J192" s="11">
        <v>1</v>
      </c>
      <c r="K192" s="11">
        <v>1</v>
      </c>
      <c r="L192" s="11">
        <v>1</v>
      </c>
      <c r="M192" s="11">
        <v>1</v>
      </c>
      <c r="N192" s="11">
        <v>0</v>
      </c>
      <c r="O192" s="11">
        <v>1</v>
      </c>
      <c r="P192" s="11">
        <v>0</v>
      </c>
      <c r="Q192" s="11">
        <v>1</v>
      </c>
      <c r="R192" s="11">
        <v>1</v>
      </c>
      <c r="S192" s="11">
        <v>1</v>
      </c>
      <c r="T192" s="11">
        <v>1</v>
      </c>
      <c r="U192" s="11">
        <v>1</v>
      </c>
      <c r="V192" s="11">
        <v>1</v>
      </c>
      <c r="W192" s="11">
        <v>1</v>
      </c>
      <c r="X192" s="11">
        <v>0</v>
      </c>
      <c r="Y192" s="11">
        <v>1</v>
      </c>
      <c r="Z192" s="11">
        <v>1</v>
      </c>
      <c r="AA192" s="11">
        <v>0</v>
      </c>
      <c r="AB192" s="11">
        <v>0</v>
      </c>
      <c r="AC192" s="11">
        <v>1</v>
      </c>
      <c r="AD192" s="11">
        <v>0</v>
      </c>
      <c r="AE192" s="11">
        <v>0</v>
      </c>
      <c r="AF192" s="11">
        <v>1</v>
      </c>
      <c r="AG192" s="11">
        <v>0</v>
      </c>
      <c r="AH192" s="11">
        <v>1</v>
      </c>
      <c r="AI192" s="11">
        <v>0</v>
      </c>
      <c r="AJ192" s="11">
        <v>1</v>
      </c>
      <c r="AK192" s="11">
        <v>0</v>
      </c>
      <c r="AL192" s="11">
        <v>1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1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1</v>
      </c>
      <c r="BA192" s="11">
        <v>1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5">
        <f t="shared" si="28"/>
        <v>84.772950727742042</v>
      </c>
      <c r="BH192" s="3">
        <f t="shared" si="29"/>
        <v>21.64919093439137</v>
      </c>
      <c r="BI192" s="3">
        <f t="shared" si="30"/>
        <v>33.35080906560863</v>
      </c>
      <c r="BJ192" s="3">
        <f t="shared" si="22"/>
        <v>-0.4321139483914575</v>
      </c>
      <c r="BK192" s="3">
        <f t="shared" si="23"/>
        <v>-0.45609683602320777</v>
      </c>
      <c r="BL192" s="3">
        <f t="shared" si="24"/>
        <v>0.94333424358242735</v>
      </c>
      <c r="BM192" s="3">
        <f t="shared" si="25"/>
        <v>2.5423531261488313E-2</v>
      </c>
      <c r="BN192" s="3">
        <f t="shared" si="26"/>
        <v>50.254235312614881</v>
      </c>
      <c r="BO192" s="2" t="str">
        <f t="shared" si="27"/>
        <v>C+</v>
      </c>
    </row>
    <row r="193" spans="1:67" x14ac:dyDescent="0.35">
      <c r="A193" s="15">
        <v>192</v>
      </c>
      <c r="B193" s="10" t="s">
        <v>202</v>
      </c>
      <c r="C193" s="11">
        <v>26</v>
      </c>
      <c r="D193" s="11">
        <v>0</v>
      </c>
      <c r="E193" s="11">
        <v>1</v>
      </c>
      <c r="F193" s="11">
        <v>0</v>
      </c>
      <c r="G193" s="11">
        <v>1</v>
      </c>
      <c r="H193" s="11">
        <v>1</v>
      </c>
      <c r="I193" s="11">
        <v>1</v>
      </c>
      <c r="J193" s="11">
        <v>1</v>
      </c>
      <c r="K193" s="11">
        <v>1</v>
      </c>
      <c r="L193" s="11">
        <v>0</v>
      </c>
      <c r="M193" s="11">
        <v>1</v>
      </c>
      <c r="N193" s="11">
        <v>1</v>
      </c>
      <c r="O193" s="11">
        <v>1</v>
      </c>
      <c r="P193" s="11">
        <v>1</v>
      </c>
      <c r="Q193" s="11">
        <v>1</v>
      </c>
      <c r="R193" s="11">
        <v>1</v>
      </c>
      <c r="S193" s="11">
        <v>1</v>
      </c>
      <c r="T193" s="11">
        <v>1</v>
      </c>
      <c r="U193" s="11">
        <v>0</v>
      </c>
      <c r="V193" s="11">
        <v>0</v>
      </c>
      <c r="W193" s="11">
        <v>1</v>
      </c>
      <c r="X193" s="11">
        <v>1</v>
      </c>
      <c r="Y193" s="11">
        <v>1</v>
      </c>
      <c r="Z193" s="11">
        <v>1</v>
      </c>
      <c r="AA193" s="11">
        <v>1</v>
      </c>
      <c r="AB193" s="11">
        <v>0</v>
      </c>
      <c r="AC193" s="11">
        <v>1</v>
      </c>
      <c r="AD193" s="11">
        <v>0</v>
      </c>
      <c r="AE193" s="11">
        <v>0</v>
      </c>
      <c r="AF193" s="11">
        <v>1</v>
      </c>
      <c r="AG193" s="11">
        <v>1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1</v>
      </c>
      <c r="AT193" s="11">
        <v>1</v>
      </c>
      <c r="AU193" s="11">
        <v>1</v>
      </c>
      <c r="AV193" s="11">
        <v>1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5">
        <f t="shared" si="28"/>
        <v>84.168110285365898</v>
      </c>
      <c r="BH193" s="3">
        <f t="shared" si="29"/>
        <v>21.494727675658091</v>
      </c>
      <c r="BI193" s="3">
        <f t="shared" si="30"/>
        <v>33.505272324341909</v>
      </c>
      <c r="BJ193" s="3">
        <f t="shared" si="22"/>
        <v>-0.44389512859061625</v>
      </c>
      <c r="BK193" s="3">
        <f t="shared" si="23"/>
        <v>-0.45609683602320777</v>
      </c>
      <c r="BL193" s="3">
        <f t="shared" si="24"/>
        <v>0.94333424358242735</v>
      </c>
      <c r="BM193" s="3">
        <f t="shared" si="25"/>
        <v>1.2934659709006265E-2</v>
      </c>
      <c r="BN193" s="3">
        <f t="shared" si="26"/>
        <v>50.129346597090063</v>
      </c>
      <c r="BO193" s="2" t="str">
        <f t="shared" si="27"/>
        <v>C+</v>
      </c>
    </row>
    <row r="194" spans="1:67" x14ac:dyDescent="0.35">
      <c r="A194" s="1">
        <v>193</v>
      </c>
      <c r="B194" s="10" t="s">
        <v>203</v>
      </c>
      <c r="C194" s="11">
        <v>26</v>
      </c>
      <c r="D194" s="11">
        <v>1</v>
      </c>
      <c r="E194" s="11">
        <v>1</v>
      </c>
      <c r="F194" s="11">
        <v>1</v>
      </c>
      <c r="G194" s="11">
        <v>0</v>
      </c>
      <c r="H194" s="11">
        <v>1</v>
      </c>
      <c r="I194" s="11">
        <v>1</v>
      </c>
      <c r="J194" s="11">
        <v>1</v>
      </c>
      <c r="K194" s="11">
        <v>1</v>
      </c>
      <c r="L194" s="11">
        <v>1</v>
      </c>
      <c r="M194" s="11">
        <v>0</v>
      </c>
      <c r="N194" s="11">
        <v>1</v>
      </c>
      <c r="O194" s="11">
        <v>0</v>
      </c>
      <c r="P194" s="11">
        <v>1</v>
      </c>
      <c r="Q194" s="11">
        <v>1</v>
      </c>
      <c r="R194" s="11">
        <v>1</v>
      </c>
      <c r="S194" s="11">
        <v>1</v>
      </c>
      <c r="T194" s="11">
        <v>1</v>
      </c>
      <c r="U194" s="11">
        <v>1</v>
      </c>
      <c r="V194" s="11">
        <v>0</v>
      </c>
      <c r="W194" s="11">
        <v>0</v>
      </c>
      <c r="X194" s="11">
        <v>1</v>
      </c>
      <c r="Y194" s="11">
        <v>1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1</v>
      </c>
      <c r="AR194" s="11">
        <v>1</v>
      </c>
      <c r="AS194" s="11">
        <v>0</v>
      </c>
      <c r="AT194" s="11">
        <v>1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5">
        <f t="shared" si="28"/>
        <v>83.953439502322539</v>
      </c>
      <c r="BH194" s="3">
        <f t="shared" si="29"/>
        <v>21.439905368185666</v>
      </c>
      <c r="BI194" s="3">
        <f t="shared" si="30"/>
        <v>33.560094631814337</v>
      </c>
      <c r="BJ194" s="3">
        <f t="shared" ref="BJ194:BJ257" si="31">LN(BH194/BI194)</f>
        <v>-0.44808377897940643</v>
      </c>
      <c r="BK194" s="3">
        <f t="shared" si="23"/>
        <v>-0.45609683602320777</v>
      </c>
      <c r="BL194" s="3">
        <f t="shared" si="24"/>
        <v>0.94333424358242735</v>
      </c>
      <c r="BM194" s="3">
        <f t="shared" si="25"/>
        <v>8.4943985637272908E-3</v>
      </c>
      <c r="BN194" s="3">
        <f t="shared" si="26"/>
        <v>50.084943985637274</v>
      </c>
      <c r="BO194" s="2" t="str">
        <f t="shared" si="27"/>
        <v>C+</v>
      </c>
    </row>
    <row r="195" spans="1:67" x14ac:dyDescent="0.35">
      <c r="A195" s="15">
        <v>194</v>
      </c>
      <c r="B195" s="12">
        <v>1902008</v>
      </c>
      <c r="C195" s="11">
        <v>28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  <c r="I195" s="11">
        <v>1</v>
      </c>
      <c r="J195" s="11">
        <v>1</v>
      </c>
      <c r="K195" s="11">
        <v>1</v>
      </c>
      <c r="L195" s="11">
        <v>0</v>
      </c>
      <c r="M195" s="11">
        <v>1</v>
      </c>
      <c r="N195" s="11">
        <v>1</v>
      </c>
      <c r="O195" s="11">
        <v>1</v>
      </c>
      <c r="P195" s="11">
        <v>1</v>
      </c>
      <c r="Q195" s="11">
        <v>1</v>
      </c>
      <c r="R195" s="11">
        <v>1</v>
      </c>
      <c r="S195" s="11">
        <v>1</v>
      </c>
      <c r="T195" s="11">
        <v>1</v>
      </c>
      <c r="U195" s="11">
        <v>1</v>
      </c>
      <c r="V195" s="11">
        <v>1</v>
      </c>
      <c r="W195" s="11">
        <v>0</v>
      </c>
      <c r="X195" s="11">
        <v>0</v>
      </c>
      <c r="Y195" s="11">
        <v>1</v>
      </c>
      <c r="Z195" s="11">
        <v>1</v>
      </c>
      <c r="AA195" s="11">
        <v>0</v>
      </c>
      <c r="AB195" s="11">
        <v>1</v>
      </c>
      <c r="AC195" s="11">
        <v>1</v>
      </c>
      <c r="AD195" s="11">
        <v>1</v>
      </c>
      <c r="AE195" s="11">
        <v>1</v>
      </c>
      <c r="AF195" s="11">
        <v>1</v>
      </c>
      <c r="AG195" s="11">
        <v>1</v>
      </c>
      <c r="AH195" s="11">
        <v>0</v>
      </c>
      <c r="AI195" s="11">
        <v>0</v>
      </c>
      <c r="AJ195" s="11">
        <v>0</v>
      </c>
      <c r="AK195" s="11">
        <v>0</v>
      </c>
      <c r="AL195" s="11">
        <v>1</v>
      </c>
      <c r="AM195" s="11">
        <v>1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5">
        <f t="shared" si="28"/>
        <v>83.917035396301372</v>
      </c>
      <c r="BH195" s="3">
        <f t="shared" si="29"/>
        <v>21.430608541364343</v>
      </c>
      <c r="BI195" s="3">
        <f t="shared" si="30"/>
        <v>33.569391458635657</v>
      </c>
      <c r="BJ195" s="3">
        <f t="shared" si="31"/>
        <v>-0.44879447750601303</v>
      </c>
      <c r="BK195" s="3">
        <f t="shared" ref="BK195:BK258" si="32">AVERAGE($BJ$2:$BJ$472)</f>
        <v>-0.45609683602320777</v>
      </c>
      <c r="BL195" s="3">
        <f t="shared" ref="BL195:BL258" si="33">_xlfn.STDEV.S($BJ$2:$BJ$472)</f>
        <v>0.94333424358242735</v>
      </c>
      <c r="BM195" s="3">
        <f t="shared" ref="BM195:BM258" si="34">(BJ195-BK195)/BL195</f>
        <v>7.7410086264473339E-3</v>
      </c>
      <c r="BN195" s="3">
        <f t="shared" ref="BN195:BN258" si="35">50+10*BM195</f>
        <v>50.077410086264472</v>
      </c>
      <c r="BO195" s="2" t="str">
        <f t="shared" ref="BO195:BO258" si="36">IF(BN195&lt;45,"NC",IF(BN195&lt;50,"C",IF(BN195&lt;55,"C+",IF(BN195&lt;60,"B",IF(BN195&lt;65,"B+",IF(BN195&lt;=70,"A","A+"))))))</f>
        <v>C+</v>
      </c>
    </row>
    <row r="196" spans="1:67" x14ac:dyDescent="0.35">
      <c r="A196" s="15">
        <v>195</v>
      </c>
      <c r="B196" s="10" t="s">
        <v>204</v>
      </c>
      <c r="C196" s="11">
        <v>27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  <c r="I196" s="11">
        <v>1</v>
      </c>
      <c r="J196" s="11">
        <v>1</v>
      </c>
      <c r="K196" s="11">
        <v>1</v>
      </c>
      <c r="L196" s="11">
        <v>1</v>
      </c>
      <c r="M196" s="11">
        <v>1</v>
      </c>
      <c r="N196" s="11">
        <v>0</v>
      </c>
      <c r="O196" s="11">
        <v>1</v>
      </c>
      <c r="P196" s="11">
        <v>1</v>
      </c>
      <c r="Q196" s="11">
        <v>1</v>
      </c>
      <c r="R196" s="11">
        <v>1</v>
      </c>
      <c r="S196" s="11">
        <v>1</v>
      </c>
      <c r="T196" s="11">
        <v>1</v>
      </c>
      <c r="U196" s="11">
        <v>0</v>
      </c>
      <c r="V196" s="11">
        <v>0</v>
      </c>
      <c r="W196" s="11">
        <v>1</v>
      </c>
      <c r="X196" s="11">
        <v>0</v>
      </c>
      <c r="Y196" s="11">
        <v>1</v>
      </c>
      <c r="Z196" s="11">
        <v>0</v>
      </c>
      <c r="AA196" s="11">
        <v>1</v>
      </c>
      <c r="AB196" s="11">
        <v>0</v>
      </c>
      <c r="AC196" s="11">
        <v>1</v>
      </c>
      <c r="AD196" s="11">
        <v>0</v>
      </c>
      <c r="AE196" s="11">
        <v>0</v>
      </c>
      <c r="AF196" s="11">
        <v>0</v>
      </c>
      <c r="AG196" s="11">
        <v>0</v>
      </c>
      <c r="AH196" s="11">
        <v>1</v>
      </c>
      <c r="AI196" s="11">
        <v>1</v>
      </c>
      <c r="AJ196" s="11">
        <v>1</v>
      </c>
      <c r="AK196" s="11">
        <v>0</v>
      </c>
      <c r="AL196" s="11">
        <v>0</v>
      </c>
      <c r="AM196" s="11">
        <v>1</v>
      </c>
      <c r="AN196" s="11">
        <v>0</v>
      </c>
      <c r="AO196" s="11">
        <v>0</v>
      </c>
      <c r="AP196" s="11">
        <v>0</v>
      </c>
      <c r="AQ196" s="11">
        <v>0</v>
      </c>
      <c r="AR196" s="11">
        <v>1</v>
      </c>
      <c r="AS196" s="11">
        <v>1</v>
      </c>
      <c r="AT196" s="11">
        <v>1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5">
        <f t="shared" ref="BG196:BG259" si="37">D196*$D$477+E196*$E$477+F196*$F$477+G196*$G$477+H196*$H$477+I196*$I$477+J196*$J$477+K196*$K$477+L196*$L$477+M196*$M$477+N196*$N$477+O196*$O$477+P196*$P$477+Q196*$Q$477+R196*$R$477+S196*$S$477+T196*$T$477+U196*$U$477+V196*$V$477+W196*W$477+X196*$X$477+Y196*$Y$477+Z196*$Z$477+AA196*$AA$477+AB196*$AB$477+AC196*$AC$477+AD196*$AD$477+AE196*$AE$477+AF196*$AF$477+AG196*$AG$477+AH196*$AH$477+AI196*$AI$477+AJ196*$AJ$477+AK196*$AK$477+AL196*$AL$477+AM196*$AM$477+AN196*$AN$477+AO196*$AO$477+AP196*$AP$477+AQ196*$AQ$477+AR196*$AR$477+AS196*$AS$477+AT196*$AT$477+AU196*$AU$477+AV196*$AV$477+AW196*$AW$477+AX196*$AX$477+AY196*$AY$477+AZ196*$AZ$477+BA196*$BA$477+BB196*$BB$477+BC196*$BC$477+BD196*$BD$477+BE196*$BE$477+BF196*$BF$477</f>
        <v>83.797423625600175</v>
      </c>
      <c r="BH196" s="3">
        <f t="shared" ref="BH196:BH259" si="38">BG196*55/$BG$2</f>
        <v>21.400062264047335</v>
      </c>
      <c r="BI196" s="3">
        <f t="shared" ref="BI196:BI259" si="39">55-BH196</f>
        <v>33.599937735952665</v>
      </c>
      <c r="BJ196" s="3">
        <f t="shared" si="31"/>
        <v>-0.45113038231229929</v>
      </c>
      <c r="BK196" s="3">
        <f t="shared" si="32"/>
        <v>-0.45609683602320777</v>
      </c>
      <c r="BL196" s="3">
        <f t="shared" si="33"/>
        <v>0.94333424358242735</v>
      </c>
      <c r="BM196" s="3">
        <f t="shared" si="34"/>
        <v>5.2647868395487947E-3</v>
      </c>
      <c r="BN196" s="3">
        <f t="shared" si="35"/>
        <v>50.052647868395489</v>
      </c>
      <c r="BO196" s="2" t="str">
        <f t="shared" si="36"/>
        <v>C+</v>
      </c>
    </row>
    <row r="197" spans="1:67" x14ac:dyDescent="0.35">
      <c r="A197" s="1">
        <v>196</v>
      </c>
      <c r="B197" s="10" t="s">
        <v>205</v>
      </c>
      <c r="C197" s="11">
        <v>25</v>
      </c>
      <c r="D197" s="11">
        <v>1</v>
      </c>
      <c r="E197" s="11">
        <v>1</v>
      </c>
      <c r="F197" s="11">
        <v>0</v>
      </c>
      <c r="G197" s="11">
        <v>0</v>
      </c>
      <c r="H197" s="11">
        <v>1</v>
      </c>
      <c r="I197" s="11">
        <v>1</v>
      </c>
      <c r="J197" s="11">
        <v>0</v>
      </c>
      <c r="K197" s="11">
        <v>1</v>
      </c>
      <c r="L197" s="11">
        <v>1</v>
      </c>
      <c r="M197" s="11">
        <v>1</v>
      </c>
      <c r="N197" s="11">
        <v>1</v>
      </c>
      <c r="O197" s="11">
        <v>1</v>
      </c>
      <c r="P197" s="11">
        <v>0</v>
      </c>
      <c r="Q197" s="11">
        <v>0</v>
      </c>
      <c r="R197" s="11">
        <v>0</v>
      </c>
      <c r="S197" s="11">
        <v>1</v>
      </c>
      <c r="T197" s="11">
        <v>1</v>
      </c>
      <c r="U197" s="11">
        <v>0</v>
      </c>
      <c r="V197" s="11">
        <v>0</v>
      </c>
      <c r="W197" s="11">
        <v>1</v>
      </c>
      <c r="X197" s="11">
        <v>0</v>
      </c>
      <c r="Y197" s="11">
        <v>1</v>
      </c>
      <c r="Z197" s="11">
        <v>1</v>
      </c>
      <c r="AA197" s="11">
        <v>1</v>
      </c>
      <c r="AB197" s="11">
        <v>0</v>
      </c>
      <c r="AC197" s="11">
        <v>1</v>
      </c>
      <c r="AD197" s="11">
        <v>1</v>
      </c>
      <c r="AE197" s="11">
        <v>0</v>
      </c>
      <c r="AF197" s="11">
        <v>0</v>
      </c>
      <c r="AG197" s="11">
        <v>0</v>
      </c>
      <c r="AH197" s="11">
        <v>1</v>
      </c>
      <c r="AI197" s="11">
        <v>1</v>
      </c>
      <c r="AJ197" s="11">
        <v>1</v>
      </c>
      <c r="AK197" s="11">
        <v>0</v>
      </c>
      <c r="AL197" s="11">
        <v>1</v>
      </c>
      <c r="AM197" s="11">
        <v>1</v>
      </c>
      <c r="AN197" s="11">
        <v>0</v>
      </c>
      <c r="AO197" s="11">
        <v>0</v>
      </c>
      <c r="AP197" s="11">
        <v>0</v>
      </c>
      <c r="AQ197" s="11">
        <v>1</v>
      </c>
      <c r="AR197" s="11">
        <v>0</v>
      </c>
      <c r="AS197" s="11">
        <v>1</v>
      </c>
      <c r="AT197" s="11">
        <v>1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5">
        <f t="shared" si="37"/>
        <v>83.710581517810624</v>
      </c>
      <c r="BH197" s="3">
        <f t="shared" si="38"/>
        <v>21.377884654838955</v>
      </c>
      <c r="BI197" s="3">
        <f t="shared" si="39"/>
        <v>33.622115345161049</v>
      </c>
      <c r="BJ197" s="3">
        <f t="shared" si="31"/>
        <v>-0.45282708492080603</v>
      </c>
      <c r="BK197" s="3">
        <f t="shared" si="32"/>
        <v>-0.45609683602320777</v>
      </c>
      <c r="BL197" s="3">
        <f t="shared" si="33"/>
        <v>0.94333424358242735</v>
      </c>
      <c r="BM197" s="3">
        <f t="shared" si="34"/>
        <v>3.4661639017623922E-3</v>
      </c>
      <c r="BN197" s="3">
        <f t="shared" si="35"/>
        <v>50.034661639017621</v>
      </c>
      <c r="BO197" s="2" t="str">
        <f t="shared" si="36"/>
        <v>C+</v>
      </c>
    </row>
    <row r="198" spans="1:67" x14ac:dyDescent="0.35">
      <c r="A198" s="15">
        <v>197</v>
      </c>
      <c r="B198" s="10" t="s">
        <v>206</v>
      </c>
      <c r="C198" s="11">
        <v>26</v>
      </c>
      <c r="D198" s="11">
        <v>1</v>
      </c>
      <c r="E198" s="11">
        <v>1</v>
      </c>
      <c r="F198" s="11">
        <v>1</v>
      </c>
      <c r="G198" s="11">
        <v>1</v>
      </c>
      <c r="H198" s="11">
        <v>1</v>
      </c>
      <c r="I198" s="11">
        <v>1</v>
      </c>
      <c r="J198" s="11">
        <v>1</v>
      </c>
      <c r="K198" s="11">
        <v>1</v>
      </c>
      <c r="L198" s="11">
        <v>1</v>
      </c>
      <c r="M198" s="11">
        <v>1</v>
      </c>
      <c r="N198" s="11">
        <v>0</v>
      </c>
      <c r="O198" s="11">
        <v>1</v>
      </c>
      <c r="P198" s="11">
        <v>0</v>
      </c>
      <c r="Q198" s="11">
        <v>1</v>
      </c>
      <c r="R198" s="11">
        <v>0</v>
      </c>
      <c r="S198" s="11">
        <v>0</v>
      </c>
      <c r="T198" s="11">
        <v>0</v>
      </c>
      <c r="U198" s="11">
        <v>0</v>
      </c>
      <c r="V198" s="11">
        <v>1</v>
      </c>
      <c r="W198" s="11">
        <v>1</v>
      </c>
      <c r="X198" s="11">
        <v>0</v>
      </c>
      <c r="Y198" s="11">
        <v>1</v>
      </c>
      <c r="Z198" s="11">
        <v>0</v>
      </c>
      <c r="AA198" s="11">
        <v>1</v>
      </c>
      <c r="AB198" s="11">
        <v>0</v>
      </c>
      <c r="AC198" s="11">
        <v>1</v>
      </c>
      <c r="AD198" s="11">
        <v>1</v>
      </c>
      <c r="AE198" s="11">
        <v>0</v>
      </c>
      <c r="AF198" s="11">
        <v>0</v>
      </c>
      <c r="AG198" s="11">
        <v>0</v>
      </c>
      <c r="AH198" s="11">
        <v>0</v>
      </c>
      <c r="AI198" s="11">
        <v>1</v>
      </c>
      <c r="AJ198" s="11">
        <v>1</v>
      </c>
      <c r="AK198" s="11">
        <v>1</v>
      </c>
      <c r="AL198" s="11">
        <v>1</v>
      </c>
      <c r="AM198" s="11">
        <v>1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1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1</v>
      </c>
      <c r="AZ198" s="11">
        <v>0</v>
      </c>
      <c r="BA198" s="11">
        <v>0</v>
      </c>
      <c r="BB198" s="11">
        <v>0</v>
      </c>
      <c r="BC198" s="11">
        <v>1</v>
      </c>
      <c r="BD198" s="11">
        <v>0</v>
      </c>
      <c r="BE198" s="11">
        <v>0</v>
      </c>
      <c r="BF198" s="11">
        <v>0</v>
      </c>
      <c r="BG198" s="5">
        <f t="shared" si="37"/>
        <v>83.683089151810833</v>
      </c>
      <c r="BH198" s="3">
        <f t="shared" si="38"/>
        <v>21.370863695020308</v>
      </c>
      <c r="BI198" s="3">
        <f t="shared" si="39"/>
        <v>33.629136304979696</v>
      </c>
      <c r="BJ198" s="3">
        <f t="shared" si="31"/>
        <v>-0.45336435839104211</v>
      </c>
      <c r="BK198" s="3">
        <f t="shared" si="32"/>
        <v>-0.45609683602320777</v>
      </c>
      <c r="BL198" s="3">
        <f t="shared" si="33"/>
        <v>0.94333424358242735</v>
      </c>
      <c r="BM198" s="3">
        <f t="shared" si="34"/>
        <v>2.8966166030279421E-3</v>
      </c>
      <c r="BN198" s="3">
        <f t="shared" si="35"/>
        <v>50.02896616603028</v>
      </c>
      <c r="BO198" s="2" t="str">
        <f t="shared" si="36"/>
        <v>C+</v>
      </c>
    </row>
    <row r="199" spans="1:67" x14ac:dyDescent="0.35">
      <c r="A199" s="15">
        <v>198</v>
      </c>
      <c r="B199" s="10" t="s">
        <v>207</v>
      </c>
      <c r="C199" s="11">
        <v>27</v>
      </c>
      <c r="D199" s="11">
        <v>0</v>
      </c>
      <c r="E199" s="11">
        <v>0</v>
      </c>
      <c r="F199" s="11">
        <v>1</v>
      </c>
      <c r="G199" s="11">
        <v>1</v>
      </c>
      <c r="H199" s="11">
        <v>1</v>
      </c>
      <c r="I199" s="11">
        <v>1</v>
      </c>
      <c r="J199" s="11">
        <v>1</v>
      </c>
      <c r="K199" s="11">
        <v>0</v>
      </c>
      <c r="L199" s="11">
        <v>1</v>
      </c>
      <c r="M199" s="11">
        <v>1</v>
      </c>
      <c r="N199" s="11">
        <v>1</v>
      </c>
      <c r="O199" s="11">
        <v>1</v>
      </c>
      <c r="P199" s="11">
        <v>1</v>
      </c>
      <c r="Q199" s="11">
        <v>1</v>
      </c>
      <c r="R199" s="11">
        <v>0</v>
      </c>
      <c r="S199" s="11">
        <v>1</v>
      </c>
      <c r="T199" s="11">
        <v>1</v>
      </c>
      <c r="U199" s="11">
        <v>1</v>
      </c>
      <c r="V199" s="11">
        <v>0</v>
      </c>
      <c r="W199" s="11">
        <v>0</v>
      </c>
      <c r="X199" s="11">
        <v>1</v>
      </c>
      <c r="Y199" s="11">
        <v>1</v>
      </c>
      <c r="Z199" s="11">
        <v>1</v>
      </c>
      <c r="AA199" s="11">
        <v>1</v>
      </c>
      <c r="AB199" s="11">
        <v>0</v>
      </c>
      <c r="AC199" s="11">
        <v>1</v>
      </c>
      <c r="AD199" s="11">
        <v>1</v>
      </c>
      <c r="AE199" s="11">
        <v>1</v>
      </c>
      <c r="AF199" s="11">
        <v>1</v>
      </c>
      <c r="AG199" s="11">
        <v>1</v>
      </c>
      <c r="AH199" s="11">
        <v>0</v>
      </c>
      <c r="AI199" s="11">
        <v>1</v>
      </c>
      <c r="AJ199" s="11">
        <v>1</v>
      </c>
      <c r="AK199" s="11">
        <v>1</v>
      </c>
      <c r="AL199" s="11">
        <v>1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5">
        <f t="shared" si="37"/>
        <v>83.503591033809968</v>
      </c>
      <c r="BH199" s="3">
        <f t="shared" si="38"/>
        <v>21.325023730791095</v>
      </c>
      <c r="BI199" s="3">
        <f t="shared" si="39"/>
        <v>33.674976269208905</v>
      </c>
      <c r="BJ199" s="3">
        <f t="shared" si="31"/>
        <v>-0.45687381140297745</v>
      </c>
      <c r="BK199" s="3">
        <f t="shared" si="32"/>
        <v>-0.45609683602320777</v>
      </c>
      <c r="BL199" s="3">
        <f t="shared" si="33"/>
        <v>0.94333424358242735</v>
      </c>
      <c r="BM199" s="3">
        <f t="shared" si="34"/>
        <v>-8.236480177153477E-4</v>
      </c>
      <c r="BN199" s="3">
        <f t="shared" si="35"/>
        <v>49.991763519822847</v>
      </c>
      <c r="BO199" s="2" t="str">
        <f t="shared" si="36"/>
        <v>C</v>
      </c>
    </row>
    <row r="200" spans="1:67" x14ac:dyDescent="0.35">
      <c r="A200" s="1">
        <v>199</v>
      </c>
      <c r="B200" s="10" t="s">
        <v>208</v>
      </c>
      <c r="C200" s="11">
        <v>26</v>
      </c>
      <c r="D200" s="11">
        <v>1</v>
      </c>
      <c r="E200" s="11">
        <v>1</v>
      </c>
      <c r="F200" s="11">
        <v>1</v>
      </c>
      <c r="G200" s="11">
        <v>1</v>
      </c>
      <c r="H200" s="11">
        <v>1</v>
      </c>
      <c r="I200" s="11">
        <v>1</v>
      </c>
      <c r="J200" s="11">
        <v>1</v>
      </c>
      <c r="K200" s="11">
        <v>1</v>
      </c>
      <c r="L200" s="11">
        <v>0</v>
      </c>
      <c r="M200" s="11">
        <v>1</v>
      </c>
      <c r="N200" s="11">
        <v>0</v>
      </c>
      <c r="O200" s="11">
        <v>1</v>
      </c>
      <c r="P200" s="11">
        <v>0</v>
      </c>
      <c r="Q200" s="11">
        <v>1</v>
      </c>
      <c r="R200" s="11">
        <v>0</v>
      </c>
      <c r="S200" s="11">
        <v>0</v>
      </c>
      <c r="T200" s="11">
        <v>1</v>
      </c>
      <c r="U200" s="11">
        <v>0</v>
      </c>
      <c r="V200" s="11">
        <v>0</v>
      </c>
      <c r="W200" s="11">
        <v>1</v>
      </c>
      <c r="X200" s="11">
        <v>0</v>
      </c>
      <c r="Y200" s="11">
        <v>1</v>
      </c>
      <c r="Z200" s="11">
        <v>1</v>
      </c>
      <c r="AA200" s="11">
        <v>0</v>
      </c>
      <c r="AB200" s="11">
        <v>0</v>
      </c>
      <c r="AC200" s="11">
        <v>1</v>
      </c>
      <c r="AD200" s="11">
        <v>0</v>
      </c>
      <c r="AE200" s="11">
        <v>1</v>
      </c>
      <c r="AF200" s="11">
        <v>1</v>
      </c>
      <c r="AG200" s="11">
        <v>0</v>
      </c>
      <c r="AH200" s="11">
        <v>1</v>
      </c>
      <c r="AI200" s="11">
        <v>1</v>
      </c>
      <c r="AJ200" s="11">
        <v>0</v>
      </c>
      <c r="AK200" s="11">
        <v>1</v>
      </c>
      <c r="AL200" s="11">
        <v>0</v>
      </c>
      <c r="AM200" s="11">
        <v>0</v>
      </c>
      <c r="AN200" s="11">
        <v>1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1</v>
      </c>
      <c r="AU200" s="11">
        <v>0</v>
      </c>
      <c r="AV200" s="11">
        <v>0</v>
      </c>
      <c r="AW200" s="11">
        <v>1</v>
      </c>
      <c r="AX200" s="11">
        <v>0</v>
      </c>
      <c r="AY200" s="11">
        <v>0</v>
      </c>
      <c r="AZ200" s="11">
        <v>1</v>
      </c>
      <c r="BA200" s="11">
        <v>0</v>
      </c>
      <c r="BB200" s="11">
        <v>0</v>
      </c>
      <c r="BC200" s="11">
        <v>1</v>
      </c>
      <c r="BD200" s="11">
        <v>0</v>
      </c>
      <c r="BE200" s="11">
        <v>0</v>
      </c>
      <c r="BF200" s="11">
        <v>0</v>
      </c>
      <c r="BG200" s="5">
        <f t="shared" si="37"/>
        <v>83.326029287079734</v>
      </c>
      <c r="BH200" s="3">
        <f t="shared" si="38"/>
        <v>21.279678274196662</v>
      </c>
      <c r="BI200" s="3">
        <f t="shared" si="39"/>
        <v>33.720321725803338</v>
      </c>
      <c r="BJ200" s="3">
        <f t="shared" si="31"/>
        <v>-0.46034812852012014</v>
      </c>
      <c r="BK200" s="3">
        <f t="shared" si="32"/>
        <v>-0.45609683602320777</v>
      </c>
      <c r="BL200" s="3">
        <f t="shared" si="33"/>
        <v>0.94333424358242735</v>
      </c>
      <c r="BM200" s="3">
        <f t="shared" si="34"/>
        <v>-4.5066661428165254E-3</v>
      </c>
      <c r="BN200" s="3">
        <f t="shared" si="35"/>
        <v>49.954933338571834</v>
      </c>
      <c r="BO200" s="2" t="str">
        <f t="shared" si="36"/>
        <v>C</v>
      </c>
    </row>
    <row r="201" spans="1:67" x14ac:dyDescent="0.35">
      <c r="A201" s="15">
        <v>200</v>
      </c>
      <c r="B201" s="10" t="s">
        <v>209</v>
      </c>
      <c r="C201" s="11">
        <v>26</v>
      </c>
      <c r="D201" s="11">
        <v>1</v>
      </c>
      <c r="E201" s="11">
        <v>0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1</v>
      </c>
      <c r="L201" s="11">
        <v>1</v>
      </c>
      <c r="M201" s="11">
        <v>1</v>
      </c>
      <c r="N201" s="11">
        <v>1</v>
      </c>
      <c r="O201" s="11">
        <v>0</v>
      </c>
      <c r="P201" s="11">
        <v>1</v>
      </c>
      <c r="Q201" s="11">
        <v>1</v>
      </c>
      <c r="R201" s="11">
        <v>0</v>
      </c>
      <c r="S201" s="11">
        <v>1</v>
      </c>
      <c r="T201" s="11">
        <v>0</v>
      </c>
      <c r="U201" s="11">
        <v>1</v>
      </c>
      <c r="V201" s="11">
        <v>1</v>
      </c>
      <c r="W201" s="11">
        <v>1</v>
      </c>
      <c r="X201" s="11">
        <v>0</v>
      </c>
      <c r="Y201" s="11">
        <v>1</v>
      </c>
      <c r="Z201" s="11">
        <v>1</v>
      </c>
      <c r="AA201" s="11">
        <v>0</v>
      </c>
      <c r="AB201" s="11">
        <v>0</v>
      </c>
      <c r="AC201" s="11">
        <v>1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1</v>
      </c>
      <c r="AJ201" s="11">
        <v>1</v>
      </c>
      <c r="AK201" s="11">
        <v>1</v>
      </c>
      <c r="AL201" s="11">
        <v>0</v>
      </c>
      <c r="AM201" s="11">
        <v>0</v>
      </c>
      <c r="AN201" s="11">
        <v>0</v>
      </c>
      <c r="AO201" s="11">
        <v>1</v>
      </c>
      <c r="AP201" s="11">
        <v>0</v>
      </c>
      <c r="AQ201" s="11">
        <v>1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1</v>
      </c>
      <c r="BA201" s="11">
        <v>1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5">
        <f t="shared" si="37"/>
        <v>82.929869958773381</v>
      </c>
      <c r="BH201" s="3">
        <f t="shared" si="38"/>
        <v>21.178507690120984</v>
      </c>
      <c r="BI201" s="3">
        <f t="shared" si="39"/>
        <v>33.821492309879019</v>
      </c>
      <c r="BJ201" s="3">
        <f t="shared" si="31"/>
        <v>-0.468109588322005</v>
      </c>
      <c r="BK201" s="3">
        <f t="shared" si="32"/>
        <v>-0.45609683602320777</v>
      </c>
      <c r="BL201" s="3">
        <f t="shared" si="33"/>
        <v>0.94333424358242735</v>
      </c>
      <c r="BM201" s="3">
        <f t="shared" si="34"/>
        <v>-1.2734354106745161E-2</v>
      </c>
      <c r="BN201" s="3">
        <f t="shared" si="35"/>
        <v>49.872656458932546</v>
      </c>
      <c r="BO201" s="2" t="str">
        <f t="shared" si="36"/>
        <v>C</v>
      </c>
    </row>
    <row r="202" spans="1:67" x14ac:dyDescent="0.35">
      <c r="A202" s="15">
        <v>201</v>
      </c>
      <c r="B202" s="10" t="s">
        <v>210</v>
      </c>
      <c r="C202" s="11">
        <v>27</v>
      </c>
      <c r="D202" s="11">
        <v>1</v>
      </c>
      <c r="E202" s="11">
        <v>1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1</v>
      </c>
      <c r="L202" s="11">
        <v>1</v>
      </c>
      <c r="M202" s="11">
        <v>1</v>
      </c>
      <c r="N202" s="11">
        <v>1</v>
      </c>
      <c r="O202" s="11">
        <v>1</v>
      </c>
      <c r="P202" s="11">
        <v>1</v>
      </c>
      <c r="Q202" s="11">
        <v>1</v>
      </c>
      <c r="R202" s="11">
        <v>0</v>
      </c>
      <c r="S202" s="11">
        <v>0</v>
      </c>
      <c r="T202" s="11">
        <v>0</v>
      </c>
      <c r="U202" s="11">
        <v>1</v>
      </c>
      <c r="V202" s="11">
        <v>0</v>
      </c>
      <c r="W202" s="11">
        <v>0</v>
      </c>
      <c r="X202" s="11">
        <v>0</v>
      </c>
      <c r="Y202" s="11">
        <v>0</v>
      </c>
      <c r="Z202" s="11">
        <v>1</v>
      </c>
      <c r="AA202" s="11">
        <v>1</v>
      </c>
      <c r="AB202" s="11">
        <v>0</v>
      </c>
      <c r="AC202" s="11">
        <v>1</v>
      </c>
      <c r="AD202" s="11">
        <v>0</v>
      </c>
      <c r="AE202" s="11">
        <v>0</v>
      </c>
      <c r="AF202" s="11">
        <v>1</v>
      </c>
      <c r="AG202" s="11">
        <v>1</v>
      </c>
      <c r="AH202" s="11">
        <v>1</v>
      </c>
      <c r="AI202" s="11">
        <v>0</v>
      </c>
      <c r="AJ202" s="11">
        <v>1</v>
      </c>
      <c r="AK202" s="11">
        <v>1</v>
      </c>
      <c r="AL202" s="11">
        <v>1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1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1</v>
      </c>
      <c r="BD202" s="11">
        <v>1</v>
      </c>
      <c r="BE202" s="11">
        <v>0</v>
      </c>
      <c r="BF202" s="11">
        <v>0</v>
      </c>
      <c r="BG202" s="5">
        <f t="shared" si="37"/>
        <v>82.887804904817827</v>
      </c>
      <c r="BH202" s="3">
        <f t="shared" si="38"/>
        <v>21.167765178778254</v>
      </c>
      <c r="BI202" s="3">
        <f t="shared" si="39"/>
        <v>33.832234821221746</v>
      </c>
      <c r="BJ202" s="3">
        <f t="shared" si="31"/>
        <v>-0.46893452685448395</v>
      </c>
      <c r="BK202" s="3">
        <f t="shared" si="32"/>
        <v>-0.45609683602320777</v>
      </c>
      <c r="BL202" s="3">
        <f t="shared" si="33"/>
        <v>0.94333424358242735</v>
      </c>
      <c r="BM202" s="3">
        <f t="shared" si="34"/>
        <v>-1.360884640689335E-2</v>
      </c>
      <c r="BN202" s="3">
        <f t="shared" si="35"/>
        <v>49.863911535931067</v>
      </c>
      <c r="BO202" s="2" t="str">
        <f t="shared" si="36"/>
        <v>C</v>
      </c>
    </row>
    <row r="203" spans="1:67" x14ac:dyDescent="0.35">
      <c r="A203" s="1">
        <v>202</v>
      </c>
      <c r="B203" s="10" t="s">
        <v>211</v>
      </c>
      <c r="C203" s="11">
        <v>27</v>
      </c>
      <c r="D203" s="11">
        <v>1</v>
      </c>
      <c r="E203" s="11">
        <v>1</v>
      </c>
      <c r="F203" s="11">
        <v>0</v>
      </c>
      <c r="G203" s="11">
        <v>1</v>
      </c>
      <c r="H203" s="11">
        <v>1</v>
      </c>
      <c r="I203" s="11">
        <v>1</v>
      </c>
      <c r="J203" s="11">
        <v>1</v>
      </c>
      <c r="K203" s="11">
        <v>1</v>
      </c>
      <c r="L203" s="11">
        <v>1</v>
      </c>
      <c r="M203" s="11">
        <v>1</v>
      </c>
      <c r="N203" s="11">
        <v>0</v>
      </c>
      <c r="O203" s="11">
        <v>1</v>
      </c>
      <c r="P203" s="11">
        <v>0</v>
      </c>
      <c r="Q203" s="11">
        <v>1</v>
      </c>
      <c r="R203" s="11">
        <v>1</v>
      </c>
      <c r="S203" s="11">
        <v>1</v>
      </c>
      <c r="T203" s="11">
        <v>1</v>
      </c>
      <c r="U203" s="11">
        <v>1</v>
      </c>
      <c r="V203" s="11">
        <v>0</v>
      </c>
      <c r="W203" s="11">
        <v>0</v>
      </c>
      <c r="X203" s="11">
        <v>1</v>
      </c>
      <c r="Y203" s="11">
        <v>1</v>
      </c>
      <c r="Z203" s="11">
        <v>1</v>
      </c>
      <c r="AA203" s="11">
        <v>0</v>
      </c>
      <c r="AB203" s="11">
        <v>0</v>
      </c>
      <c r="AC203" s="11">
        <v>1</v>
      </c>
      <c r="AD203" s="11">
        <v>0</v>
      </c>
      <c r="AE203" s="11">
        <v>1</v>
      </c>
      <c r="AF203" s="11">
        <v>0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  <c r="AM203" s="11">
        <v>1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5">
        <f t="shared" si="37"/>
        <v>81.692656920380855</v>
      </c>
      <c r="BH203" s="3">
        <f t="shared" si="38"/>
        <v>20.862550051926931</v>
      </c>
      <c r="BI203" s="3">
        <f t="shared" si="39"/>
        <v>34.137449948073069</v>
      </c>
      <c r="BJ203" s="3">
        <f t="shared" si="31"/>
        <v>-0.49243933249389843</v>
      </c>
      <c r="BK203" s="3">
        <f t="shared" si="32"/>
        <v>-0.45609683602320777</v>
      </c>
      <c r="BL203" s="3">
        <f t="shared" si="33"/>
        <v>0.94333424358242735</v>
      </c>
      <c r="BM203" s="3">
        <f t="shared" si="34"/>
        <v>-3.8525577458818384E-2</v>
      </c>
      <c r="BN203" s="3">
        <f t="shared" si="35"/>
        <v>49.614744225411819</v>
      </c>
      <c r="BO203" s="2" t="str">
        <f t="shared" si="36"/>
        <v>C</v>
      </c>
    </row>
    <row r="204" spans="1:67" x14ac:dyDescent="0.35">
      <c r="A204" s="15">
        <v>203</v>
      </c>
      <c r="B204" s="10" t="s">
        <v>212</v>
      </c>
      <c r="C204" s="11">
        <v>26</v>
      </c>
      <c r="D204" s="11">
        <v>1</v>
      </c>
      <c r="E204" s="11">
        <v>1</v>
      </c>
      <c r="F204" s="11">
        <v>1</v>
      </c>
      <c r="G204" s="11">
        <v>1</v>
      </c>
      <c r="H204" s="11">
        <v>1</v>
      </c>
      <c r="I204" s="11">
        <v>1</v>
      </c>
      <c r="J204" s="11">
        <v>1</v>
      </c>
      <c r="K204" s="11">
        <v>1</v>
      </c>
      <c r="L204" s="11">
        <v>1</v>
      </c>
      <c r="M204" s="11">
        <v>1</v>
      </c>
      <c r="N204" s="11">
        <v>1</v>
      </c>
      <c r="O204" s="11">
        <v>1</v>
      </c>
      <c r="P204" s="11">
        <v>0</v>
      </c>
      <c r="Q204" s="11">
        <v>1</v>
      </c>
      <c r="R204" s="11">
        <v>0</v>
      </c>
      <c r="S204" s="11">
        <v>1</v>
      </c>
      <c r="T204" s="11">
        <v>1</v>
      </c>
      <c r="U204" s="11">
        <v>1</v>
      </c>
      <c r="V204" s="11">
        <v>0</v>
      </c>
      <c r="W204" s="11">
        <v>1</v>
      </c>
      <c r="X204" s="11">
        <v>0</v>
      </c>
      <c r="Y204" s="11">
        <v>0</v>
      </c>
      <c r="Z204" s="11">
        <v>0</v>
      </c>
      <c r="AA204" s="11">
        <v>1</v>
      </c>
      <c r="AB204" s="11">
        <v>0</v>
      </c>
      <c r="AC204" s="11">
        <v>1</v>
      </c>
      <c r="AD204" s="11">
        <v>1</v>
      </c>
      <c r="AE204" s="11">
        <v>1</v>
      </c>
      <c r="AF204" s="11">
        <v>0</v>
      </c>
      <c r="AG204" s="11">
        <v>1</v>
      </c>
      <c r="AH204" s="11">
        <v>0</v>
      </c>
      <c r="AI204" s="11">
        <v>0</v>
      </c>
      <c r="AJ204" s="11">
        <v>1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1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1</v>
      </c>
      <c r="BF204" s="11">
        <v>1</v>
      </c>
      <c r="BG204" s="5">
        <f t="shared" si="37"/>
        <v>81.588871630621895</v>
      </c>
      <c r="BH204" s="3">
        <f t="shared" si="38"/>
        <v>20.836045517934842</v>
      </c>
      <c r="BI204" s="3">
        <f t="shared" si="39"/>
        <v>34.163954482065158</v>
      </c>
      <c r="BJ204" s="3">
        <f t="shared" si="31"/>
        <v>-0.4944866812849818</v>
      </c>
      <c r="BK204" s="3">
        <f t="shared" si="32"/>
        <v>-0.45609683602320777</v>
      </c>
      <c r="BL204" s="3">
        <f t="shared" si="33"/>
        <v>0.94333424358242735</v>
      </c>
      <c r="BM204" s="3">
        <f t="shared" si="34"/>
        <v>-4.0695909772112043E-2</v>
      </c>
      <c r="BN204" s="3">
        <f t="shared" si="35"/>
        <v>49.593040902278879</v>
      </c>
      <c r="BO204" s="2" t="str">
        <f t="shared" si="36"/>
        <v>C</v>
      </c>
    </row>
    <row r="205" spans="1:67" x14ac:dyDescent="0.35">
      <c r="A205" s="15">
        <v>204</v>
      </c>
      <c r="B205" s="10" t="s">
        <v>213</v>
      </c>
      <c r="C205" s="11">
        <v>26</v>
      </c>
      <c r="D205" s="11">
        <v>1</v>
      </c>
      <c r="E205" s="11">
        <v>1</v>
      </c>
      <c r="F205" s="11">
        <v>1</v>
      </c>
      <c r="G205" s="11">
        <v>1</v>
      </c>
      <c r="H205" s="11">
        <v>1</v>
      </c>
      <c r="I205" s="11">
        <v>0</v>
      </c>
      <c r="J205" s="11">
        <v>1</v>
      </c>
      <c r="K205" s="11">
        <v>1</v>
      </c>
      <c r="L205" s="11">
        <v>0</v>
      </c>
      <c r="M205" s="11">
        <v>1</v>
      </c>
      <c r="N205" s="11">
        <v>0</v>
      </c>
      <c r="O205" s="11">
        <v>0</v>
      </c>
      <c r="P205" s="11">
        <v>0</v>
      </c>
      <c r="Q205" s="11">
        <v>1</v>
      </c>
      <c r="R205" s="11">
        <v>0</v>
      </c>
      <c r="S205" s="11">
        <v>1</v>
      </c>
      <c r="T205" s="11">
        <v>1</v>
      </c>
      <c r="U205" s="11">
        <v>1</v>
      </c>
      <c r="V205" s="11">
        <v>1</v>
      </c>
      <c r="W205" s="11">
        <v>0</v>
      </c>
      <c r="X205" s="11">
        <v>1</v>
      </c>
      <c r="Y205" s="11">
        <v>1</v>
      </c>
      <c r="Z205" s="11">
        <v>1</v>
      </c>
      <c r="AA205" s="11">
        <v>0</v>
      </c>
      <c r="AB205" s="11">
        <v>1</v>
      </c>
      <c r="AC205" s="11">
        <v>1</v>
      </c>
      <c r="AD205" s="11">
        <v>1</v>
      </c>
      <c r="AE205" s="11">
        <v>1</v>
      </c>
      <c r="AF205" s="11">
        <v>1</v>
      </c>
      <c r="AG205" s="11">
        <v>1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1</v>
      </c>
      <c r="AR205" s="11">
        <v>1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1</v>
      </c>
      <c r="BB205" s="11">
        <v>1</v>
      </c>
      <c r="BC205" s="11">
        <v>0</v>
      </c>
      <c r="BD205" s="11">
        <v>0</v>
      </c>
      <c r="BE205" s="11">
        <v>0</v>
      </c>
      <c r="BF205" s="11">
        <v>0</v>
      </c>
      <c r="BG205" s="5">
        <f t="shared" si="37"/>
        <v>81.506933663316843</v>
      </c>
      <c r="BH205" s="3">
        <f t="shared" si="38"/>
        <v>20.815120320879238</v>
      </c>
      <c r="BI205" s="3">
        <f t="shared" si="39"/>
        <v>34.184879679120762</v>
      </c>
      <c r="BJ205" s="3">
        <f t="shared" si="31"/>
        <v>-0.49610377054220656</v>
      </c>
      <c r="BK205" s="3">
        <f t="shared" si="32"/>
        <v>-0.45609683602320777</v>
      </c>
      <c r="BL205" s="3">
        <f t="shared" si="33"/>
        <v>0.94333424358242735</v>
      </c>
      <c r="BM205" s="3">
        <f t="shared" si="34"/>
        <v>-4.2410137012590096E-2</v>
      </c>
      <c r="BN205" s="3">
        <f t="shared" si="35"/>
        <v>49.575898629874096</v>
      </c>
      <c r="BO205" s="2" t="str">
        <f t="shared" si="36"/>
        <v>C</v>
      </c>
    </row>
    <row r="206" spans="1:67" x14ac:dyDescent="0.35">
      <c r="A206" s="1">
        <v>205</v>
      </c>
      <c r="B206" s="10" t="s">
        <v>214</v>
      </c>
      <c r="C206" s="11">
        <v>26</v>
      </c>
      <c r="D206" s="11">
        <v>1</v>
      </c>
      <c r="E206" s="11">
        <v>0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>
        <v>1</v>
      </c>
      <c r="L206" s="11">
        <v>1</v>
      </c>
      <c r="M206" s="11">
        <v>1</v>
      </c>
      <c r="N206" s="11">
        <v>1</v>
      </c>
      <c r="O206" s="11">
        <v>1</v>
      </c>
      <c r="P206" s="11">
        <v>0</v>
      </c>
      <c r="Q206" s="11">
        <v>1</v>
      </c>
      <c r="R206" s="11">
        <v>0</v>
      </c>
      <c r="S206" s="11">
        <v>1</v>
      </c>
      <c r="T206" s="11">
        <v>1</v>
      </c>
      <c r="U206" s="11">
        <v>0</v>
      </c>
      <c r="V206" s="11">
        <v>1</v>
      </c>
      <c r="W206" s="11">
        <v>1</v>
      </c>
      <c r="X206" s="11">
        <v>0</v>
      </c>
      <c r="Y206" s="11">
        <v>0</v>
      </c>
      <c r="Z206" s="11">
        <v>1</v>
      </c>
      <c r="AA206" s="11">
        <v>0</v>
      </c>
      <c r="AB206" s="11">
        <v>0</v>
      </c>
      <c r="AC206" s="11">
        <v>1</v>
      </c>
      <c r="AD206" s="11">
        <v>1</v>
      </c>
      <c r="AE206" s="11">
        <v>1</v>
      </c>
      <c r="AF206" s="11">
        <v>0</v>
      </c>
      <c r="AG206" s="11">
        <v>0</v>
      </c>
      <c r="AH206" s="11">
        <v>1</v>
      </c>
      <c r="AI206" s="11">
        <v>0</v>
      </c>
      <c r="AJ206" s="11">
        <v>0</v>
      </c>
      <c r="AK206" s="11">
        <v>0</v>
      </c>
      <c r="AL206" s="11">
        <v>0</v>
      </c>
      <c r="AM206" s="11">
        <v>1</v>
      </c>
      <c r="AN206" s="11">
        <v>0</v>
      </c>
      <c r="AO206" s="11">
        <v>1</v>
      </c>
      <c r="AP206" s="11">
        <v>1</v>
      </c>
      <c r="AQ206" s="11">
        <v>0</v>
      </c>
      <c r="AR206" s="11">
        <v>0</v>
      </c>
      <c r="AS206" s="11">
        <v>0</v>
      </c>
      <c r="AT206" s="11">
        <v>1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1</v>
      </c>
      <c r="BD206" s="11">
        <v>0</v>
      </c>
      <c r="BE206" s="11">
        <v>0</v>
      </c>
      <c r="BF206" s="11">
        <v>0</v>
      </c>
      <c r="BG206" s="5">
        <f t="shared" si="37"/>
        <v>81.404647562661495</v>
      </c>
      <c r="BH206" s="3">
        <f t="shared" si="38"/>
        <v>20.788998647585903</v>
      </c>
      <c r="BI206" s="3">
        <f t="shared" si="39"/>
        <v>34.211001352414101</v>
      </c>
      <c r="BJ206" s="3">
        <f t="shared" si="31"/>
        <v>-0.49812333370212503</v>
      </c>
      <c r="BK206" s="3">
        <f t="shared" si="32"/>
        <v>-0.45609683602320777</v>
      </c>
      <c r="BL206" s="3">
        <f t="shared" si="33"/>
        <v>0.94333424358242735</v>
      </c>
      <c r="BM206" s="3">
        <f t="shared" si="34"/>
        <v>-4.4551014621621789E-2</v>
      </c>
      <c r="BN206" s="3">
        <f t="shared" si="35"/>
        <v>49.554489853783785</v>
      </c>
      <c r="BO206" s="2" t="str">
        <f t="shared" si="36"/>
        <v>C</v>
      </c>
    </row>
    <row r="207" spans="1:67" x14ac:dyDescent="0.35">
      <c r="A207" s="15">
        <v>206</v>
      </c>
      <c r="B207" s="10" t="s">
        <v>215</v>
      </c>
      <c r="C207" s="11">
        <v>23</v>
      </c>
      <c r="D207" s="11">
        <v>1</v>
      </c>
      <c r="E207" s="11">
        <v>0</v>
      </c>
      <c r="F207" s="11">
        <v>1</v>
      </c>
      <c r="G207" s="11">
        <v>0</v>
      </c>
      <c r="H207" s="11">
        <v>1</v>
      </c>
      <c r="I207" s="11">
        <v>0</v>
      </c>
      <c r="J207" s="11">
        <v>1</v>
      </c>
      <c r="K207" s="11">
        <v>1</v>
      </c>
      <c r="L207" s="11">
        <v>0</v>
      </c>
      <c r="M207" s="11">
        <v>1</v>
      </c>
      <c r="N207" s="11">
        <v>1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1</v>
      </c>
      <c r="X207" s="11">
        <v>1</v>
      </c>
      <c r="Y207" s="11">
        <v>1</v>
      </c>
      <c r="Z207" s="11">
        <v>1</v>
      </c>
      <c r="AA207" s="11">
        <v>1</v>
      </c>
      <c r="AB207" s="11">
        <v>0</v>
      </c>
      <c r="AC207" s="11">
        <v>1</v>
      </c>
      <c r="AD207" s="11">
        <v>0</v>
      </c>
      <c r="AE207" s="11">
        <v>1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1</v>
      </c>
      <c r="AL207" s="11">
        <v>0</v>
      </c>
      <c r="AM207" s="11">
        <v>1</v>
      </c>
      <c r="AN207" s="11">
        <v>1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1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1</v>
      </c>
      <c r="BA207" s="11">
        <v>1</v>
      </c>
      <c r="BB207" s="11">
        <v>1</v>
      </c>
      <c r="BC207" s="11">
        <v>1</v>
      </c>
      <c r="BD207" s="11">
        <v>1</v>
      </c>
      <c r="BE207" s="11">
        <v>0</v>
      </c>
      <c r="BF207" s="11">
        <v>0</v>
      </c>
      <c r="BG207" s="5">
        <f t="shared" si="37"/>
        <v>81.368195632474126</v>
      </c>
      <c r="BH207" s="3">
        <f t="shared" si="38"/>
        <v>20.779689607499662</v>
      </c>
      <c r="BI207" s="3">
        <f t="shared" si="39"/>
        <v>34.220310392500338</v>
      </c>
      <c r="BJ207" s="3">
        <f t="shared" si="31"/>
        <v>-0.49884329044204456</v>
      </c>
      <c r="BK207" s="3">
        <f t="shared" si="32"/>
        <v>-0.45609683602320777</v>
      </c>
      <c r="BL207" s="3">
        <f t="shared" si="33"/>
        <v>0.94333424358242735</v>
      </c>
      <c r="BM207" s="3">
        <f t="shared" si="34"/>
        <v>-4.5314218909834003E-2</v>
      </c>
      <c r="BN207" s="3">
        <f t="shared" si="35"/>
        <v>49.546857810901663</v>
      </c>
      <c r="BO207" s="2" t="str">
        <f t="shared" si="36"/>
        <v>C</v>
      </c>
    </row>
    <row r="208" spans="1:67" x14ac:dyDescent="0.35">
      <c r="A208" s="15">
        <v>207</v>
      </c>
      <c r="B208" s="10" t="s">
        <v>216</v>
      </c>
      <c r="C208" s="11">
        <v>27</v>
      </c>
      <c r="D208" s="11">
        <v>1</v>
      </c>
      <c r="E208" s="11">
        <v>1</v>
      </c>
      <c r="F208" s="11">
        <v>1</v>
      </c>
      <c r="G208" s="11">
        <v>1</v>
      </c>
      <c r="H208" s="11">
        <v>1</v>
      </c>
      <c r="I208" s="11">
        <v>1</v>
      </c>
      <c r="J208" s="11">
        <v>1</v>
      </c>
      <c r="K208" s="11">
        <v>1</v>
      </c>
      <c r="L208" s="11">
        <v>1</v>
      </c>
      <c r="M208" s="11">
        <v>1</v>
      </c>
      <c r="N208" s="11">
        <v>1</v>
      </c>
      <c r="O208" s="11">
        <v>0</v>
      </c>
      <c r="P208" s="11">
        <v>0</v>
      </c>
      <c r="Q208" s="11">
        <v>1</v>
      </c>
      <c r="R208" s="11">
        <v>1</v>
      </c>
      <c r="S208" s="11">
        <v>1</v>
      </c>
      <c r="T208" s="11">
        <v>1</v>
      </c>
      <c r="U208" s="11">
        <v>1</v>
      </c>
      <c r="V208" s="11">
        <v>1</v>
      </c>
      <c r="W208" s="11">
        <v>0</v>
      </c>
      <c r="X208" s="11">
        <v>0</v>
      </c>
      <c r="Y208" s="11">
        <v>1</v>
      </c>
      <c r="Z208" s="11">
        <v>0</v>
      </c>
      <c r="AA208" s="11">
        <v>0</v>
      </c>
      <c r="AB208" s="11">
        <v>0</v>
      </c>
      <c r="AC208" s="11">
        <v>1</v>
      </c>
      <c r="AD208" s="11">
        <v>0</v>
      </c>
      <c r="AE208" s="11">
        <v>1</v>
      </c>
      <c r="AF208" s="11">
        <v>0</v>
      </c>
      <c r="AG208" s="11">
        <v>0</v>
      </c>
      <c r="AH208" s="11">
        <v>1</v>
      </c>
      <c r="AI208" s="11">
        <v>0</v>
      </c>
      <c r="AJ208" s="11">
        <v>1</v>
      </c>
      <c r="AK208" s="11">
        <v>1</v>
      </c>
      <c r="AL208" s="11">
        <v>1</v>
      </c>
      <c r="AM208" s="11">
        <v>1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1</v>
      </c>
      <c r="AT208" s="11">
        <v>1</v>
      </c>
      <c r="AU208" s="11">
        <v>0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5">
        <f t="shared" si="37"/>
        <v>81.194726564183156</v>
      </c>
      <c r="BH208" s="3">
        <f t="shared" si="38"/>
        <v>20.735389333079546</v>
      </c>
      <c r="BI208" s="3">
        <f t="shared" si="39"/>
        <v>34.264610666920454</v>
      </c>
      <c r="BJ208" s="3">
        <f t="shared" si="31"/>
        <v>-0.5022711924247899</v>
      </c>
      <c r="BK208" s="3">
        <f t="shared" si="32"/>
        <v>-0.45609683602320777</v>
      </c>
      <c r="BL208" s="3">
        <f t="shared" si="33"/>
        <v>0.94333424358242735</v>
      </c>
      <c r="BM208" s="3">
        <f t="shared" si="34"/>
        <v>-4.8948033759730121E-2</v>
      </c>
      <c r="BN208" s="3">
        <f t="shared" si="35"/>
        <v>49.5105196624027</v>
      </c>
      <c r="BO208" s="2" t="str">
        <f t="shared" si="36"/>
        <v>C</v>
      </c>
    </row>
    <row r="209" spans="1:67" x14ac:dyDescent="0.35">
      <c r="A209" s="1">
        <v>208</v>
      </c>
      <c r="B209" s="12">
        <v>3333333</v>
      </c>
      <c r="C209" s="11">
        <v>26</v>
      </c>
      <c r="D209" s="11">
        <v>1</v>
      </c>
      <c r="E209" s="11">
        <v>1</v>
      </c>
      <c r="F209" s="11">
        <v>0</v>
      </c>
      <c r="G209" s="11">
        <v>1</v>
      </c>
      <c r="H209" s="11">
        <v>1</v>
      </c>
      <c r="I209" s="11">
        <v>1</v>
      </c>
      <c r="J209" s="11">
        <v>1</v>
      </c>
      <c r="K209" s="11">
        <v>1</v>
      </c>
      <c r="L209" s="11">
        <v>0</v>
      </c>
      <c r="M209" s="11">
        <v>1</v>
      </c>
      <c r="N209" s="11">
        <v>0</v>
      </c>
      <c r="O209" s="11">
        <v>1</v>
      </c>
      <c r="P209" s="11">
        <v>1</v>
      </c>
      <c r="Q209" s="11">
        <v>1</v>
      </c>
      <c r="R209" s="11">
        <v>0</v>
      </c>
      <c r="S209" s="11">
        <v>0</v>
      </c>
      <c r="T209" s="11">
        <v>1</v>
      </c>
      <c r="U209" s="11">
        <v>1</v>
      </c>
      <c r="V209" s="11">
        <v>1</v>
      </c>
      <c r="W209" s="11">
        <v>1</v>
      </c>
      <c r="X209" s="11">
        <v>0</v>
      </c>
      <c r="Y209" s="11">
        <v>0</v>
      </c>
      <c r="Z209" s="11">
        <v>1</v>
      </c>
      <c r="AA209" s="11">
        <v>0</v>
      </c>
      <c r="AB209" s="11">
        <v>1</v>
      </c>
      <c r="AC209" s="11">
        <v>1</v>
      </c>
      <c r="AD209" s="11">
        <v>0</v>
      </c>
      <c r="AE209" s="11">
        <v>1</v>
      </c>
      <c r="AF209" s="11">
        <v>1</v>
      </c>
      <c r="AG209" s="11">
        <v>0</v>
      </c>
      <c r="AH209" s="11">
        <v>1</v>
      </c>
      <c r="AI209" s="11">
        <v>1</v>
      </c>
      <c r="AJ209" s="11">
        <v>1</v>
      </c>
      <c r="AK209" s="11">
        <v>0</v>
      </c>
      <c r="AL209" s="11">
        <v>1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1</v>
      </c>
      <c r="AS209" s="11">
        <v>0</v>
      </c>
      <c r="AT209" s="11">
        <v>1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5">
        <f t="shared" si="37"/>
        <v>81.158357099540439</v>
      </c>
      <c r="BH209" s="3">
        <f t="shared" si="38"/>
        <v>20.726101352922285</v>
      </c>
      <c r="BI209" s="3">
        <f t="shared" si="39"/>
        <v>34.273898647077715</v>
      </c>
      <c r="BJ209" s="3">
        <f t="shared" si="31"/>
        <v>-0.50299025121271956</v>
      </c>
      <c r="BK209" s="3">
        <f t="shared" si="32"/>
        <v>-0.45609683602320777</v>
      </c>
      <c r="BL209" s="3">
        <f t="shared" si="33"/>
        <v>0.94333424358242735</v>
      </c>
      <c r="BM209" s="3">
        <f t="shared" si="34"/>
        <v>-4.9710286156292069E-2</v>
      </c>
      <c r="BN209" s="3">
        <f t="shared" si="35"/>
        <v>49.502897138437078</v>
      </c>
      <c r="BO209" s="2" t="str">
        <f t="shared" si="36"/>
        <v>C</v>
      </c>
    </row>
    <row r="210" spans="1:67" x14ac:dyDescent="0.35">
      <c r="A210" s="15">
        <v>209</v>
      </c>
      <c r="B210" s="10" t="s">
        <v>217</v>
      </c>
      <c r="C210" s="11">
        <v>26</v>
      </c>
      <c r="D210" s="11">
        <v>1</v>
      </c>
      <c r="E210" s="11">
        <v>1</v>
      </c>
      <c r="F210" s="11">
        <v>1</v>
      </c>
      <c r="G210" s="11">
        <v>1</v>
      </c>
      <c r="H210" s="11">
        <v>1</v>
      </c>
      <c r="I210" s="11">
        <v>1</v>
      </c>
      <c r="J210" s="11">
        <v>1</v>
      </c>
      <c r="K210" s="11">
        <v>1</v>
      </c>
      <c r="L210" s="11">
        <v>0</v>
      </c>
      <c r="M210" s="11">
        <v>1</v>
      </c>
      <c r="N210" s="11">
        <v>1</v>
      </c>
      <c r="O210" s="11">
        <v>1</v>
      </c>
      <c r="P210" s="11">
        <v>0</v>
      </c>
      <c r="Q210" s="11">
        <v>1</v>
      </c>
      <c r="R210" s="11">
        <v>1</v>
      </c>
      <c r="S210" s="11">
        <v>0</v>
      </c>
      <c r="T210" s="11">
        <v>1</v>
      </c>
      <c r="U210" s="11">
        <v>1</v>
      </c>
      <c r="V210" s="11">
        <v>1</v>
      </c>
      <c r="W210" s="11">
        <v>0</v>
      </c>
      <c r="X210" s="11">
        <v>1</v>
      </c>
      <c r="Y210" s="11">
        <v>0</v>
      </c>
      <c r="Z210" s="11">
        <v>0</v>
      </c>
      <c r="AA210" s="11">
        <v>0</v>
      </c>
      <c r="AB210" s="11">
        <v>1</v>
      </c>
      <c r="AC210" s="11">
        <v>1</v>
      </c>
      <c r="AD210" s="11">
        <v>1</v>
      </c>
      <c r="AE210" s="11">
        <v>1</v>
      </c>
      <c r="AF210" s="11">
        <v>0</v>
      </c>
      <c r="AG210" s="11">
        <v>0</v>
      </c>
      <c r="AH210" s="11">
        <v>0</v>
      </c>
      <c r="AI210" s="11">
        <v>1</v>
      </c>
      <c r="AJ210" s="11">
        <v>0</v>
      </c>
      <c r="AK210" s="11">
        <v>1</v>
      </c>
      <c r="AL210" s="11">
        <v>0</v>
      </c>
      <c r="AM210" s="11">
        <v>1</v>
      </c>
      <c r="AN210" s="11">
        <v>0</v>
      </c>
      <c r="AO210" s="11">
        <v>0</v>
      </c>
      <c r="AP210" s="11">
        <v>0</v>
      </c>
      <c r="AQ210" s="11">
        <v>1</v>
      </c>
      <c r="AR210" s="11">
        <v>0</v>
      </c>
      <c r="AS210" s="11">
        <v>1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5">
        <f t="shared" si="37"/>
        <v>81.032026250123053</v>
      </c>
      <c r="BH210" s="3">
        <f t="shared" si="38"/>
        <v>20.693839167207827</v>
      </c>
      <c r="BI210" s="3">
        <f t="shared" si="39"/>
        <v>34.306160832792173</v>
      </c>
      <c r="BJ210" s="3">
        <f t="shared" si="31"/>
        <v>-0.50548892295952874</v>
      </c>
      <c r="BK210" s="3">
        <f t="shared" si="32"/>
        <v>-0.45609683602320777</v>
      </c>
      <c r="BL210" s="3">
        <f t="shared" si="33"/>
        <v>0.94333424358242735</v>
      </c>
      <c r="BM210" s="3">
        <f t="shared" si="34"/>
        <v>-5.2359052236616015E-2</v>
      </c>
      <c r="BN210" s="3">
        <f t="shared" si="35"/>
        <v>49.476409477633837</v>
      </c>
      <c r="BO210" s="2" t="str">
        <f t="shared" si="36"/>
        <v>C</v>
      </c>
    </row>
    <row r="211" spans="1:67" x14ac:dyDescent="0.35">
      <c r="A211" s="15">
        <v>210</v>
      </c>
      <c r="B211" s="12">
        <v>1960042</v>
      </c>
      <c r="C211" s="11">
        <v>26</v>
      </c>
      <c r="D211" s="11">
        <v>1</v>
      </c>
      <c r="E211" s="11">
        <v>1</v>
      </c>
      <c r="F211" s="11">
        <v>1</v>
      </c>
      <c r="G211" s="11">
        <v>1</v>
      </c>
      <c r="H211" s="11">
        <v>1</v>
      </c>
      <c r="I211" s="11">
        <v>1</v>
      </c>
      <c r="J211" s="11">
        <v>1</v>
      </c>
      <c r="K211" s="11">
        <v>1</v>
      </c>
      <c r="L211" s="11">
        <v>0</v>
      </c>
      <c r="M211" s="11">
        <v>0</v>
      </c>
      <c r="N211" s="11">
        <v>1</v>
      </c>
      <c r="O211" s="11">
        <v>1</v>
      </c>
      <c r="P211" s="11">
        <v>0</v>
      </c>
      <c r="Q211" s="11">
        <v>1</v>
      </c>
      <c r="R211" s="11">
        <v>0</v>
      </c>
      <c r="S211" s="11">
        <v>1</v>
      </c>
      <c r="T211" s="11">
        <v>1</v>
      </c>
      <c r="U211" s="11">
        <v>0</v>
      </c>
      <c r="V211" s="11">
        <v>1</v>
      </c>
      <c r="W211" s="11">
        <v>0</v>
      </c>
      <c r="X211" s="11">
        <v>1</v>
      </c>
      <c r="Y211" s="11">
        <v>0</v>
      </c>
      <c r="Z211" s="11">
        <v>0</v>
      </c>
      <c r="AA211" s="11">
        <v>1</v>
      </c>
      <c r="AB211" s="11">
        <v>0</v>
      </c>
      <c r="AC211" s="11">
        <v>0</v>
      </c>
      <c r="AD211" s="11">
        <v>0</v>
      </c>
      <c r="AE211" s="11">
        <v>1</v>
      </c>
      <c r="AF211" s="11">
        <v>1</v>
      </c>
      <c r="AG211" s="11">
        <v>1</v>
      </c>
      <c r="AH211" s="11">
        <v>1</v>
      </c>
      <c r="AI211" s="11">
        <v>0</v>
      </c>
      <c r="AJ211" s="11">
        <v>1</v>
      </c>
      <c r="AK211" s="11">
        <v>1</v>
      </c>
      <c r="AL211" s="11">
        <v>1</v>
      </c>
      <c r="AM211" s="11">
        <v>1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1</v>
      </c>
      <c r="AT211" s="11">
        <v>1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5">
        <f t="shared" si="37"/>
        <v>80.793841084317734</v>
      </c>
      <c r="BH211" s="3">
        <f t="shared" si="38"/>
        <v>20.633011791399948</v>
      </c>
      <c r="BI211" s="3">
        <f t="shared" si="39"/>
        <v>34.366988208600048</v>
      </c>
      <c r="BJ211" s="3">
        <f t="shared" si="31"/>
        <v>-0.51020415124085816</v>
      </c>
      <c r="BK211" s="3">
        <f t="shared" si="32"/>
        <v>-0.45609683602320777</v>
      </c>
      <c r="BL211" s="3">
        <f t="shared" si="33"/>
        <v>0.94333424358242735</v>
      </c>
      <c r="BM211" s="3">
        <f t="shared" si="34"/>
        <v>-5.7357522623339985E-2</v>
      </c>
      <c r="BN211" s="3">
        <f t="shared" si="35"/>
        <v>49.426424773766598</v>
      </c>
      <c r="BO211" s="2" t="str">
        <f t="shared" si="36"/>
        <v>C</v>
      </c>
    </row>
    <row r="212" spans="1:67" x14ac:dyDescent="0.35">
      <c r="A212" s="1">
        <v>211</v>
      </c>
      <c r="B212" s="10" t="s">
        <v>218</v>
      </c>
      <c r="C212" s="11">
        <v>25</v>
      </c>
      <c r="D212" s="11">
        <v>1</v>
      </c>
      <c r="E212" s="11">
        <v>0</v>
      </c>
      <c r="F212" s="11">
        <v>1</v>
      </c>
      <c r="G212" s="11">
        <v>1</v>
      </c>
      <c r="H212" s="11">
        <v>1</v>
      </c>
      <c r="I212" s="11">
        <v>0</v>
      </c>
      <c r="J212" s="11">
        <v>1</v>
      </c>
      <c r="K212" s="11">
        <v>1</v>
      </c>
      <c r="L212" s="11">
        <v>0</v>
      </c>
      <c r="M212" s="11">
        <v>1</v>
      </c>
      <c r="N212" s="11">
        <v>1</v>
      </c>
      <c r="O212" s="11">
        <v>1</v>
      </c>
      <c r="P212" s="11">
        <v>1</v>
      </c>
      <c r="Q212" s="11">
        <v>1</v>
      </c>
      <c r="R212" s="11">
        <v>0</v>
      </c>
      <c r="S212" s="11">
        <v>1</v>
      </c>
      <c r="T212" s="11">
        <v>0</v>
      </c>
      <c r="U212" s="11">
        <v>1</v>
      </c>
      <c r="V212" s="11">
        <v>0</v>
      </c>
      <c r="W212" s="11">
        <v>1</v>
      </c>
      <c r="X212" s="11">
        <v>1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1</v>
      </c>
      <c r="AE212" s="11">
        <v>1</v>
      </c>
      <c r="AF212" s="11">
        <v>0</v>
      </c>
      <c r="AG212" s="11">
        <v>1</v>
      </c>
      <c r="AH212" s="11">
        <v>1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1</v>
      </c>
      <c r="AR212" s="11">
        <v>1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1</v>
      </c>
      <c r="BB212" s="11">
        <v>1</v>
      </c>
      <c r="BC212" s="11">
        <v>1</v>
      </c>
      <c r="BD212" s="11">
        <v>1</v>
      </c>
      <c r="BE212" s="11">
        <v>0</v>
      </c>
      <c r="BF212" s="11">
        <v>0</v>
      </c>
      <c r="BG212" s="5">
        <f t="shared" si="37"/>
        <v>80.585837671833204</v>
      </c>
      <c r="BH212" s="3">
        <f t="shared" si="38"/>
        <v>20.579892187172128</v>
      </c>
      <c r="BI212" s="3">
        <f t="shared" si="39"/>
        <v>34.420107812827872</v>
      </c>
      <c r="BJ212" s="3">
        <f t="shared" si="31"/>
        <v>-0.51432643137760647</v>
      </c>
      <c r="BK212" s="3">
        <f t="shared" si="32"/>
        <v>-0.45609683602320777</v>
      </c>
      <c r="BL212" s="3">
        <f t="shared" si="33"/>
        <v>0.94333424358242735</v>
      </c>
      <c r="BM212" s="3">
        <f t="shared" si="34"/>
        <v>-6.1727426678866951E-2</v>
      </c>
      <c r="BN212" s="3">
        <f t="shared" si="35"/>
        <v>49.382725733211331</v>
      </c>
      <c r="BO212" s="2" t="str">
        <f t="shared" si="36"/>
        <v>C</v>
      </c>
    </row>
    <row r="213" spans="1:67" x14ac:dyDescent="0.35">
      <c r="A213" s="15">
        <v>212</v>
      </c>
      <c r="B213" s="10" t="s">
        <v>219</v>
      </c>
      <c r="C213" s="11">
        <v>26</v>
      </c>
      <c r="D213" s="11">
        <v>1</v>
      </c>
      <c r="E213" s="11">
        <v>1</v>
      </c>
      <c r="F213" s="11">
        <v>0</v>
      </c>
      <c r="G213" s="11">
        <v>0</v>
      </c>
      <c r="H213" s="11">
        <v>1</v>
      </c>
      <c r="I213" s="11">
        <v>1</v>
      </c>
      <c r="J213" s="11">
        <v>1</v>
      </c>
      <c r="K213" s="11">
        <v>1</v>
      </c>
      <c r="L213" s="11">
        <v>1</v>
      </c>
      <c r="M213" s="11">
        <v>1</v>
      </c>
      <c r="N213" s="11">
        <v>1</v>
      </c>
      <c r="O213" s="11">
        <v>1</v>
      </c>
      <c r="P213" s="11">
        <v>1</v>
      </c>
      <c r="Q213" s="11">
        <v>1</v>
      </c>
      <c r="R213" s="11">
        <v>0</v>
      </c>
      <c r="S213" s="11">
        <v>1</v>
      </c>
      <c r="T213" s="11">
        <v>1</v>
      </c>
      <c r="U213" s="11">
        <v>1</v>
      </c>
      <c r="V213" s="11">
        <v>0</v>
      </c>
      <c r="W213" s="11">
        <v>1</v>
      </c>
      <c r="X213" s="11">
        <v>0</v>
      </c>
      <c r="Y213" s="11">
        <v>1</v>
      </c>
      <c r="Z213" s="11">
        <v>0</v>
      </c>
      <c r="AA213" s="11">
        <v>0</v>
      </c>
      <c r="AB213" s="11">
        <v>0</v>
      </c>
      <c r="AC213" s="11">
        <v>1</v>
      </c>
      <c r="AD213" s="11">
        <v>1</v>
      </c>
      <c r="AE213" s="11">
        <v>0</v>
      </c>
      <c r="AF213" s="11">
        <v>1</v>
      </c>
      <c r="AG213" s="11">
        <v>0</v>
      </c>
      <c r="AH213" s="11">
        <v>1</v>
      </c>
      <c r="AI213" s="11">
        <v>1</v>
      </c>
      <c r="AJ213" s="11">
        <v>0</v>
      </c>
      <c r="AK213" s="11">
        <v>1</v>
      </c>
      <c r="AL213" s="11">
        <v>1</v>
      </c>
      <c r="AM213" s="11">
        <v>1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1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5">
        <f t="shared" si="37"/>
        <v>80.58938287001142</v>
      </c>
      <c r="BH213" s="3">
        <f t="shared" si="38"/>
        <v>20.580797554646082</v>
      </c>
      <c r="BI213" s="3">
        <f t="shared" si="39"/>
        <v>34.419202445353918</v>
      </c>
      <c r="BJ213" s="3">
        <f t="shared" si="31"/>
        <v>-0.51425613573344886</v>
      </c>
      <c r="BK213" s="3">
        <f t="shared" si="32"/>
        <v>-0.45609683602320777</v>
      </c>
      <c r="BL213" s="3">
        <f t="shared" si="33"/>
        <v>0.94333424358242735</v>
      </c>
      <c r="BM213" s="3">
        <f t="shared" si="34"/>
        <v>-6.1652908400074632E-2</v>
      </c>
      <c r="BN213" s="3">
        <f t="shared" si="35"/>
        <v>49.383470915999254</v>
      </c>
      <c r="BO213" s="2" t="str">
        <f t="shared" si="36"/>
        <v>C</v>
      </c>
    </row>
    <row r="214" spans="1:67" x14ac:dyDescent="0.35">
      <c r="A214" s="15">
        <v>213</v>
      </c>
      <c r="B214" s="12">
        <v>6543223</v>
      </c>
      <c r="C214" s="11">
        <v>26</v>
      </c>
      <c r="D214" s="11">
        <v>0</v>
      </c>
      <c r="E214" s="11">
        <v>1</v>
      </c>
      <c r="F214" s="11">
        <v>1</v>
      </c>
      <c r="G214" s="11">
        <v>0</v>
      </c>
      <c r="H214" s="11">
        <v>1</v>
      </c>
      <c r="I214" s="11">
        <v>1</v>
      </c>
      <c r="J214" s="11">
        <v>1</v>
      </c>
      <c r="K214" s="11">
        <v>1</v>
      </c>
      <c r="L214" s="11">
        <v>1</v>
      </c>
      <c r="M214" s="11">
        <v>1</v>
      </c>
      <c r="N214" s="11">
        <v>1</v>
      </c>
      <c r="O214" s="11">
        <v>1</v>
      </c>
      <c r="P214" s="11">
        <v>0</v>
      </c>
      <c r="Q214" s="11">
        <v>1</v>
      </c>
      <c r="R214" s="11">
        <v>0</v>
      </c>
      <c r="S214" s="11">
        <v>1</v>
      </c>
      <c r="T214" s="11">
        <v>1</v>
      </c>
      <c r="U214" s="11">
        <v>0</v>
      </c>
      <c r="V214" s="11">
        <v>1</v>
      </c>
      <c r="W214" s="11">
        <v>1</v>
      </c>
      <c r="X214" s="11">
        <v>1</v>
      </c>
      <c r="Y214" s="11">
        <v>1</v>
      </c>
      <c r="Z214" s="11">
        <v>0</v>
      </c>
      <c r="AA214" s="11">
        <v>0</v>
      </c>
      <c r="AB214" s="11">
        <v>0</v>
      </c>
      <c r="AC214" s="11">
        <v>1</v>
      </c>
      <c r="AD214" s="11">
        <v>0</v>
      </c>
      <c r="AE214" s="11">
        <v>1</v>
      </c>
      <c r="AF214" s="11">
        <v>0</v>
      </c>
      <c r="AG214" s="11">
        <v>1</v>
      </c>
      <c r="AH214" s="11">
        <v>0</v>
      </c>
      <c r="AI214" s="11">
        <v>1</v>
      </c>
      <c r="AJ214" s="11">
        <v>1</v>
      </c>
      <c r="AK214" s="11">
        <v>1</v>
      </c>
      <c r="AL214" s="11">
        <v>1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1</v>
      </c>
      <c r="BB214" s="11">
        <v>1</v>
      </c>
      <c r="BC214" s="11">
        <v>0</v>
      </c>
      <c r="BD214" s="11">
        <v>0</v>
      </c>
      <c r="BE214" s="11">
        <v>0</v>
      </c>
      <c r="BF214" s="11">
        <v>0</v>
      </c>
      <c r="BG214" s="5">
        <f t="shared" si="37"/>
        <v>80.293873921936608</v>
      </c>
      <c r="BH214" s="3">
        <f t="shared" si="38"/>
        <v>20.505330915998112</v>
      </c>
      <c r="BI214" s="3">
        <f t="shared" si="39"/>
        <v>34.494669084001885</v>
      </c>
      <c r="BJ214" s="3">
        <f t="shared" si="31"/>
        <v>-0.52011989577224405</v>
      </c>
      <c r="BK214" s="3">
        <f t="shared" si="32"/>
        <v>-0.45609683602320777</v>
      </c>
      <c r="BL214" s="3">
        <f t="shared" si="33"/>
        <v>0.94333424358242735</v>
      </c>
      <c r="BM214" s="3">
        <f t="shared" si="34"/>
        <v>-6.7868902443211282E-2</v>
      </c>
      <c r="BN214" s="3">
        <f t="shared" si="35"/>
        <v>49.32131097556789</v>
      </c>
      <c r="BO214" s="2" t="str">
        <f t="shared" si="36"/>
        <v>C</v>
      </c>
    </row>
    <row r="215" spans="1:67" x14ac:dyDescent="0.35">
      <c r="A215" s="1">
        <v>214</v>
      </c>
      <c r="B215" s="12">
        <v>1712007</v>
      </c>
      <c r="C215" s="11">
        <v>26</v>
      </c>
      <c r="D215" s="11">
        <v>1</v>
      </c>
      <c r="E215" s="11">
        <v>1</v>
      </c>
      <c r="F215" s="11">
        <v>1</v>
      </c>
      <c r="G215" s="11">
        <v>1</v>
      </c>
      <c r="H215" s="11">
        <v>1</v>
      </c>
      <c r="I215" s="11">
        <v>1</v>
      </c>
      <c r="J215" s="11">
        <v>1</v>
      </c>
      <c r="K215" s="11">
        <v>1</v>
      </c>
      <c r="L215" s="11">
        <v>0</v>
      </c>
      <c r="M215" s="11">
        <v>1</v>
      </c>
      <c r="N215" s="11">
        <v>1</v>
      </c>
      <c r="O215" s="11">
        <v>1</v>
      </c>
      <c r="P215" s="11">
        <v>1</v>
      </c>
      <c r="Q215" s="11">
        <v>1</v>
      </c>
      <c r="R215" s="11">
        <v>1</v>
      </c>
      <c r="S215" s="11">
        <v>1</v>
      </c>
      <c r="T215" s="11">
        <v>0</v>
      </c>
      <c r="U215" s="11">
        <v>1</v>
      </c>
      <c r="V215" s="11">
        <v>1</v>
      </c>
      <c r="W215" s="11">
        <v>1</v>
      </c>
      <c r="X215" s="11">
        <v>0</v>
      </c>
      <c r="Y215" s="11">
        <v>0</v>
      </c>
      <c r="Z215" s="11">
        <v>1</v>
      </c>
      <c r="AA215" s="11">
        <v>0</v>
      </c>
      <c r="AB215" s="11">
        <v>0</v>
      </c>
      <c r="AC215" s="11">
        <v>0</v>
      </c>
      <c r="AD215" s="11">
        <v>0</v>
      </c>
      <c r="AE215" s="11">
        <v>1</v>
      </c>
      <c r="AF215" s="11">
        <v>0</v>
      </c>
      <c r="AG215" s="11">
        <v>0</v>
      </c>
      <c r="AH215" s="11">
        <v>1</v>
      </c>
      <c r="AI215" s="11">
        <v>0</v>
      </c>
      <c r="AJ215" s="11">
        <v>0</v>
      </c>
      <c r="AK215" s="11">
        <v>1</v>
      </c>
      <c r="AL215" s="11">
        <v>0</v>
      </c>
      <c r="AM215" s="11">
        <v>1</v>
      </c>
      <c r="AN215" s="11">
        <v>0</v>
      </c>
      <c r="AO215" s="11">
        <v>0</v>
      </c>
      <c r="AP215" s="11">
        <v>1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1</v>
      </c>
      <c r="BB215" s="11">
        <v>1</v>
      </c>
      <c r="BC215" s="11">
        <v>0</v>
      </c>
      <c r="BD215" s="11">
        <v>0</v>
      </c>
      <c r="BE215" s="11">
        <v>0</v>
      </c>
      <c r="BF215" s="11">
        <v>0</v>
      </c>
      <c r="BG215" s="5">
        <f t="shared" si="37"/>
        <v>80.184408441542914</v>
      </c>
      <c r="BH215" s="3">
        <f t="shared" si="38"/>
        <v>20.47737578331223</v>
      </c>
      <c r="BI215" s="3">
        <f t="shared" si="39"/>
        <v>34.522624216687774</v>
      </c>
      <c r="BJ215" s="3">
        <f t="shared" si="31"/>
        <v>-0.52229422712720364</v>
      </c>
      <c r="BK215" s="3">
        <f t="shared" si="32"/>
        <v>-0.45609683602320777</v>
      </c>
      <c r="BL215" s="3">
        <f t="shared" si="33"/>
        <v>0.94333424358242735</v>
      </c>
      <c r="BM215" s="3">
        <f t="shared" si="34"/>
        <v>-7.0173845118357156E-2</v>
      </c>
      <c r="BN215" s="3">
        <f t="shared" si="35"/>
        <v>49.298261548816427</v>
      </c>
      <c r="BO215" s="2" t="str">
        <f t="shared" si="36"/>
        <v>C</v>
      </c>
    </row>
    <row r="216" spans="1:67" x14ac:dyDescent="0.35">
      <c r="A216" s="15">
        <v>215</v>
      </c>
      <c r="B216" s="10" t="s">
        <v>220</v>
      </c>
      <c r="C216" s="11">
        <v>27</v>
      </c>
      <c r="D216" s="11">
        <v>1</v>
      </c>
      <c r="E216" s="11">
        <v>0</v>
      </c>
      <c r="F216" s="11">
        <v>1</v>
      </c>
      <c r="G216" s="11">
        <v>1</v>
      </c>
      <c r="H216" s="11">
        <v>1</v>
      </c>
      <c r="I216" s="11">
        <v>1</v>
      </c>
      <c r="J216" s="11">
        <v>1</v>
      </c>
      <c r="K216" s="11">
        <v>1</v>
      </c>
      <c r="L216" s="11">
        <v>1</v>
      </c>
      <c r="M216" s="11">
        <v>1</v>
      </c>
      <c r="N216" s="11">
        <v>1</v>
      </c>
      <c r="O216" s="11">
        <v>1</v>
      </c>
      <c r="P216" s="11">
        <v>0</v>
      </c>
      <c r="Q216" s="11">
        <v>1</v>
      </c>
      <c r="R216" s="11">
        <v>0</v>
      </c>
      <c r="S216" s="11">
        <v>1</v>
      </c>
      <c r="T216" s="11">
        <v>1</v>
      </c>
      <c r="U216" s="11">
        <v>1</v>
      </c>
      <c r="V216" s="11">
        <v>1</v>
      </c>
      <c r="W216" s="11">
        <v>0</v>
      </c>
      <c r="X216" s="11">
        <v>1</v>
      </c>
      <c r="Y216" s="11">
        <v>0</v>
      </c>
      <c r="Z216" s="11">
        <v>1</v>
      </c>
      <c r="AA216" s="11">
        <v>1</v>
      </c>
      <c r="AB216" s="11">
        <v>0</v>
      </c>
      <c r="AC216" s="11">
        <v>1</v>
      </c>
      <c r="AD216" s="11">
        <v>1</v>
      </c>
      <c r="AE216" s="11">
        <v>1</v>
      </c>
      <c r="AF216" s="11">
        <v>1</v>
      </c>
      <c r="AG216" s="11">
        <v>1</v>
      </c>
      <c r="AH216" s="11">
        <v>1</v>
      </c>
      <c r="AI216" s="11">
        <v>1</v>
      </c>
      <c r="AJ216" s="11">
        <v>1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5">
        <f t="shared" si="37"/>
        <v>79.985263270137722</v>
      </c>
      <c r="BH216" s="3">
        <f t="shared" si="38"/>
        <v>20.426518383606286</v>
      </c>
      <c r="BI216" s="3">
        <f t="shared" si="39"/>
        <v>34.573481616393714</v>
      </c>
      <c r="BJ216" s="3">
        <f t="shared" si="31"/>
        <v>-0.52625298348661009</v>
      </c>
      <c r="BK216" s="3">
        <f t="shared" si="32"/>
        <v>-0.45609683602320777</v>
      </c>
      <c r="BL216" s="3">
        <f t="shared" si="33"/>
        <v>0.94333424358242735</v>
      </c>
      <c r="BM216" s="3">
        <f t="shared" si="34"/>
        <v>-7.4370402580718101E-2</v>
      </c>
      <c r="BN216" s="3">
        <f t="shared" si="35"/>
        <v>49.256295974192817</v>
      </c>
      <c r="BO216" s="2" t="str">
        <f t="shared" si="36"/>
        <v>C</v>
      </c>
    </row>
    <row r="217" spans="1:67" x14ac:dyDescent="0.35">
      <c r="A217" s="15">
        <v>216</v>
      </c>
      <c r="B217" s="10" t="s">
        <v>221</v>
      </c>
      <c r="C217" s="11">
        <v>27</v>
      </c>
      <c r="D217" s="11">
        <v>1</v>
      </c>
      <c r="E217" s="11">
        <v>1</v>
      </c>
      <c r="F217" s="11">
        <v>1</v>
      </c>
      <c r="G217" s="11">
        <v>1</v>
      </c>
      <c r="H217" s="11">
        <v>1</v>
      </c>
      <c r="I217" s="11">
        <v>1</v>
      </c>
      <c r="J217" s="11">
        <v>1</v>
      </c>
      <c r="K217" s="11">
        <v>1</v>
      </c>
      <c r="L217" s="11">
        <v>1</v>
      </c>
      <c r="M217" s="11">
        <v>1</v>
      </c>
      <c r="N217" s="11">
        <v>1</v>
      </c>
      <c r="O217" s="11">
        <v>1</v>
      </c>
      <c r="P217" s="11">
        <v>0</v>
      </c>
      <c r="Q217" s="11">
        <v>1</v>
      </c>
      <c r="R217" s="11">
        <v>1</v>
      </c>
      <c r="S217" s="11">
        <v>0</v>
      </c>
      <c r="T217" s="11">
        <v>1</v>
      </c>
      <c r="U217" s="11">
        <v>1</v>
      </c>
      <c r="V217" s="11">
        <v>1</v>
      </c>
      <c r="W217" s="11">
        <v>0</v>
      </c>
      <c r="X217" s="11">
        <v>0</v>
      </c>
      <c r="Y217" s="11">
        <v>1</v>
      </c>
      <c r="Z217" s="11">
        <v>1</v>
      </c>
      <c r="AA217" s="11">
        <v>0</v>
      </c>
      <c r="AB217" s="11">
        <v>0</v>
      </c>
      <c r="AC217" s="11">
        <v>1</v>
      </c>
      <c r="AD217" s="11">
        <v>0</v>
      </c>
      <c r="AE217" s="11">
        <v>1</v>
      </c>
      <c r="AF217" s="11">
        <v>0</v>
      </c>
      <c r="AG217" s="11">
        <v>1</v>
      </c>
      <c r="AH217" s="11">
        <v>1</v>
      </c>
      <c r="AI217" s="11">
        <v>1</v>
      </c>
      <c r="AJ217" s="11">
        <v>1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1</v>
      </c>
      <c r="AR217" s="11">
        <v>0</v>
      </c>
      <c r="AS217" s="11">
        <v>0</v>
      </c>
      <c r="AT217" s="11">
        <v>1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5">
        <f t="shared" si="37"/>
        <v>79.939308316524603</v>
      </c>
      <c r="BH217" s="3">
        <f t="shared" si="38"/>
        <v>20.414782475434976</v>
      </c>
      <c r="BI217" s="3">
        <f t="shared" si="39"/>
        <v>34.585217524565024</v>
      </c>
      <c r="BJ217" s="3">
        <f t="shared" si="31"/>
        <v>-0.52716708201604123</v>
      </c>
      <c r="BK217" s="3">
        <f t="shared" si="32"/>
        <v>-0.45609683602320777</v>
      </c>
      <c r="BL217" s="3">
        <f t="shared" si="33"/>
        <v>0.94333424358242735</v>
      </c>
      <c r="BM217" s="3">
        <f t="shared" si="34"/>
        <v>-7.5339410687494487E-2</v>
      </c>
      <c r="BN217" s="3">
        <f t="shared" si="35"/>
        <v>49.246605893125057</v>
      </c>
      <c r="BO217" s="2" t="str">
        <f t="shared" si="36"/>
        <v>C</v>
      </c>
    </row>
    <row r="218" spans="1:67" x14ac:dyDescent="0.35">
      <c r="A218" s="1">
        <v>217</v>
      </c>
      <c r="B218" s="10" t="s">
        <v>222</v>
      </c>
      <c r="C218" s="11">
        <v>25</v>
      </c>
      <c r="D218" s="11">
        <v>1</v>
      </c>
      <c r="E218" s="11">
        <v>1</v>
      </c>
      <c r="F218" s="11">
        <v>1</v>
      </c>
      <c r="G218" s="11">
        <v>1</v>
      </c>
      <c r="H218" s="11">
        <v>1</v>
      </c>
      <c r="I218" s="11">
        <v>0</v>
      </c>
      <c r="J218" s="11">
        <v>1</v>
      </c>
      <c r="K218" s="11">
        <v>1</v>
      </c>
      <c r="L218" s="11">
        <v>0</v>
      </c>
      <c r="M218" s="11">
        <v>0</v>
      </c>
      <c r="N218" s="11">
        <v>1</v>
      </c>
      <c r="O218" s="11">
        <v>0</v>
      </c>
      <c r="P218" s="11">
        <v>0</v>
      </c>
      <c r="Q218" s="11">
        <v>1</v>
      </c>
      <c r="R218" s="11">
        <v>0</v>
      </c>
      <c r="S218" s="11">
        <v>1</v>
      </c>
      <c r="T218" s="11">
        <v>0</v>
      </c>
      <c r="U218" s="11">
        <v>1</v>
      </c>
      <c r="V218" s="11">
        <v>1</v>
      </c>
      <c r="W218" s="11">
        <v>1</v>
      </c>
      <c r="X218" s="11">
        <v>0</v>
      </c>
      <c r="Y218" s="11">
        <v>1</v>
      </c>
      <c r="Z218" s="11">
        <v>1</v>
      </c>
      <c r="AA218" s="11">
        <v>1</v>
      </c>
      <c r="AB218" s="11">
        <v>0</v>
      </c>
      <c r="AC218" s="11">
        <v>0</v>
      </c>
      <c r="AD218" s="11">
        <v>1</v>
      </c>
      <c r="AE218" s="11">
        <v>1</v>
      </c>
      <c r="AF218" s="11">
        <v>1</v>
      </c>
      <c r="AG218" s="11">
        <v>0</v>
      </c>
      <c r="AH218" s="11">
        <v>1</v>
      </c>
      <c r="AI218" s="11">
        <v>1</v>
      </c>
      <c r="AJ218" s="11">
        <v>1</v>
      </c>
      <c r="AK218" s="11">
        <v>1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1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1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5">
        <f t="shared" si="37"/>
        <v>79.891073785188567</v>
      </c>
      <c r="BH218" s="3">
        <f t="shared" si="38"/>
        <v>20.402464412072071</v>
      </c>
      <c r="BI218" s="3">
        <f t="shared" si="39"/>
        <v>34.597535587927929</v>
      </c>
      <c r="BJ218" s="3">
        <f t="shared" si="31"/>
        <v>-0.52812675567734235</v>
      </c>
      <c r="BK218" s="3">
        <f t="shared" si="32"/>
        <v>-0.45609683602320777</v>
      </c>
      <c r="BL218" s="3">
        <f t="shared" si="33"/>
        <v>0.94333424358242735</v>
      </c>
      <c r="BM218" s="3">
        <f t="shared" si="34"/>
        <v>-7.6356731608292025E-2</v>
      </c>
      <c r="BN218" s="3">
        <f t="shared" si="35"/>
        <v>49.23643268391708</v>
      </c>
      <c r="BO218" s="2" t="str">
        <f t="shared" si="36"/>
        <v>C</v>
      </c>
    </row>
    <row r="219" spans="1:67" x14ac:dyDescent="0.35">
      <c r="A219" s="15">
        <v>218</v>
      </c>
      <c r="B219" s="10" t="s">
        <v>223</v>
      </c>
      <c r="C219" s="11">
        <v>26</v>
      </c>
      <c r="D219" s="11">
        <v>1</v>
      </c>
      <c r="E219" s="11">
        <v>1</v>
      </c>
      <c r="F219" s="11">
        <v>0</v>
      </c>
      <c r="G219" s="11">
        <v>1</v>
      </c>
      <c r="H219" s="11">
        <v>1</v>
      </c>
      <c r="I219" s="11">
        <v>0</v>
      </c>
      <c r="J219" s="11">
        <v>1</v>
      </c>
      <c r="K219" s="11">
        <v>1</v>
      </c>
      <c r="L219" s="11">
        <v>1</v>
      </c>
      <c r="M219" s="11">
        <v>1</v>
      </c>
      <c r="N219" s="11">
        <v>1</v>
      </c>
      <c r="O219" s="11">
        <v>1</v>
      </c>
      <c r="P219" s="11">
        <v>1</v>
      </c>
      <c r="Q219" s="11">
        <v>1</v>
      </c>
      <c r="R219" s="11">
        <v>0</v>
      </c>
      <c r="S219" s="11">
        <v>1</v>
      </c>
      <c r="T219" s="11">
        <v>1</v>
      </c>
      <c r="U219" s="11">
        <v>1</v>
      </c>
      <c r="V219" s="11">
        <v>1</v>
      </c>
      <c r="W219" s="11">
        <v>0</v>
      </c>
      <c r="X219" s="11">
        <v>1</v>
      </c>
      <c r="Y219" s="11">
        <v>1</v>
      </c>
      <c r="Z219" s="11">
        <v>1</v>
      </c>
      <c r="AA219" s="11">
        <v>0</v>
      </c>
      <c r="AB219" s="11">
        <v>0</v>
      </c>
      <c r="AC219" s="11">
        <v>1</v>
      </c>
      <c r="AD219" s="11">
        <v>1</v>
      </c>
      <c r="AE219" s="11">
        <v>0</v>
      </c>
      <c r="AF219" s="11">
        <v>0</v>
      </c>
      <c r="AG219" s="11">
        <v>1</v>
      </c>
      <c r="AH219" s="11">
        <v>1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1</v>
      </c>
      <c r="AT219" s="11">
        <v>1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1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5">
        <f t="shared" si="37"/>
        <v>79.860861843951099</v>
      </c>
      <c r="BH219" s="3">
        <f t="shared" si="38"/>
        <v>20.394748931146452</v>
      </c>
      <c r="BI219" s="3">
        <f t="shared" si="39"/>
        <v>34.605251068853548</v>
      </c>
      <c r="BJ219" s="3">
        <f t="shared" si="31"/>
        <v>-0.52872797316453102</v>
      </c>
      <c r="BK219" s="3">
        <f t="shared" si="32"/>
        <v>-0.45609683602320777</v>
      </c>
      <c r="BL219" s="3">
        <f t="shared" si="33"/>
        <v>0.94333424358242735</v>
      </c>
      <c r="BM219" s="3">
        <f t="shared" si="34"/>
        <v>-7.6994064018600233E-2</v>
      </c>
      <c r="BN219" s="3">
        <f t="shared" si="35"/>
        <v>49.230059359814</v>
      </c>
      <c r="BO219" s="2" t="str">
        <f t="shared" si="36"/>
        <v>C</v>
      </c>
    </row>
    <row r="220" spans="1:67" x14ac:dyDescent="0.35">
      <c r="A220" s="15">
        <v>219</v>
      </c>
      <c r="B220" s="10" t="s">
        <v>224</v>
      </c>
      <c r="C220" s="11">
        <v>26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  <c r="I220" s="11">
        <v>1</v>
      </c>
      <c r="J220" s="11">
        <v>1</v>
      </c>
      <c r="K220" s="11">
        <v>0</v>
      </c>
      <c r="L220" s="11">
        <v>0</v>
      </c>
      <c r="M220" s="11">
        <v>1</v>
      </c>
      <c r="N220" s="11">
        <v>1</v>
      </c>
      <c r="O220" s="11">
        <v>1</v>
      </c>
      <c r="P220" s="11">
        <v>0</v>
      </c>
      <c r="Q220" s="11">
        <v>1</v>
      </c>
      <c r="R220" s="11">
        <v>0</v>
      </c>
      <c r="S220" s="11">
        <v>0</v>
      </c>
      <c r="T220" s="11">
        <v>1</v>
      </c>
      <c r="U220" s="11">
        <v>1</v>
      </c>
      <c r="V220" s="11">
        <v>1</v>
      </c>
      <c r="W220" s="11">
        <v>1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1</v>
      </c>
      <c r="AD220" s="11">
        <v>0</v>
      </c>
      <c r="AE220" s="11">
        <v>1</v>
      </c>
      <c r="AF220" s="11">
        <v>1</v>
      </c>
      <c r="AG220" s="11">
        <v>1</v>
      </c>
      <c r="AH220" s="11">
        <v>1</v>
      </c>
      <c r="AI220" s="11">
        <v>1</v>
      </c>
      <c r="AJ220" s="11">
        <v>1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1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1</v>
      </c>
      <c r="BB220" s="11">
        <v>1</v>
      </c>
      <c r="BC220" s="11">
        <v>1</v>
      </c>
      <c r="BD220" s="11">
        <v>0</v>
      </c>
      <c r="BE220" s="11">
        <v>0</v>
      </c>
      <c r="BF220" s="11">
        <v>0</v>
      </c>
      <c r="BG220" s="5">
        <f t="shared" si="37"/>
        <v>79.835102720310175</v>
      </c>
      <c r="BH220" s="3">
        <f t="shared" si="38"/>
        <v>20.38817060420115</v>
      </c>
      <c r="BI220" s="3">
        <f t="shared" si="39"/>
        <v>34.61182939579885</v>
      </c>
      <c r="BJ220" s="3">
        <f t="shared" si="31"/>
        <v>-0.52924065336848225</v>
      </c>
      <c r="BK220" s="3">
        <f t="shared" si="32"/>
        <v>-0.45609683602320777</v>
      </c>
      <c r="BL220" s="3">
        <f t="shared" si="33"/>
        <v>0.94333424358242735</v>
      </c>
      <c r="BM220" s="3">
        <f t="shared" si="34"/>
        <v>-7.7537540742188965E-2</v>
      </c>
      <c r="BN220" s="3">
        <f t="shared" si="35"/>
        <v>49.22462459257811</v>
      </c>
      <c r="BO220" s="2" t="str">
        <f t="shared" si="36"/>
        <v>C</v>
      </c>
    </row>
    <row r="221" spans="1:67" x14ac:dyDescent="0.35">
      <c r="A221" s="1">
        <v>220</v>
      </c>
      <c r="B221" s="10" t="s">
        <v>225</v>
      </c>
      <c r="C221" s="11">
        <v>26</v>
      </c>
      <c r="D221" s="11">
        <v>1</v>
      </c>
      <c r="E221" s="11">
        <v>1</v>
      </c>
      <c r="F221" s="11">
        <v>1</v>
      </c>
      <c r="G221" s="11">
        <v>1</v>
      </c>
      <c r="H221" s="11">
        <v>1</v>
      </c>
      <c r="I221" s="11">
        <v>0</v>
      </c>
      <c r="J221" s="11">
        <v>1</v>
      </c>
      <c r="K221" s="11">
        <v>1</v>
      </c>
      <c r="L221" s="11">
        <v>0</v>
      </c>
      <c r="M221" s="11">
        <v>1</v>
      </c>
      <c r="N221" s="11">
        <v>0</v>
      </c>
      <c r="O221" s="11">
        <v>1</v>
      </c>
      <c r="P221" s="11">
        <v>1</v>
      </c>
      <c r="Q221" s="11">
        <v>1</v>
      </c>
      <c r="R221" s="11">
        <v>0</v>
      </c>
      <c r="S221" s="11">
        <v>1</v>
      </c>
      <c r="T221" s="11">
        <v>1</v>
      </c>
      <c r="U221" s="11">
        <v>1</v>
      </c>
      <c r="V221" s="11">
        <v>1</v>
      </c>
      <c r="W221" s="11">
        <v>0</v>
      </c>
      <c r="X221" s="11">
        <v>0</v>
      </c>
      <c r="Y221" s="11">
        <v>1</v>
      </c>
      <c r="Z221" s="11">
        <v>1</v>
      </c>
      <c r="AA221" s="11">
        <v>0</v>
      </c>
      <c r="AB221" s="11">
        <v>0</v>
      </c>
      <c r="AC221" s="11">
        <v>1</v>
      </c>
      <c r="AD221" s="11">
        <v>1</v>
      </c>
      <c r="AE221" s="11">
        <v>0</v>
      </c>
      <c r="AF221" s="11">
        <v>1</v>
      </c>
      <c r="AG221" s="11">
        <v>1</v>
      </c>
      <c r="AH221" s="11">
        <v>1</v>
      </c>
      <c r="AI221" s="11">
        <v>1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1</v>
      </c>
      <c r="AR221" s="11">
        <v>1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1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5">
        <f t="shared" si="37"/>
        <v>79.15802188427385</v>
      </c>
      <c r="BH221" s="3">
        <f t="shared" si="38"/>
        <v>20.21525870044491</v>
      </c>
      <c r="BI221" s="3">
        <f t="shared" si="39"/>
        <v>34.784741299555094</v>
      </c>
      <c r="BJ221" s="3">
        <f t="shared" si="31"/>
        <v>-0.54274112176095135</v>
      </c>
      <c r="BK221" s="3">
        <f t="shared" si="32"/>
        <v>-0.45609683602320777</v>
      </c>
      <c r="BL221" s="3">
        <f t="shared" si="33"/>
        <v>0.94333424358242735</v>
      </c>
      <c r="BM221" s="3">
        <f t="shared" si="34"/>
        <v>-9.1848977525401054E-2</v>
      </c>
      <c r="BN221" s="3">
        <f t="shared" si="35"/>
        <v>49.08151022474599</v>
      </c>
      <c r="BO221" s="2" t="str">
        <f t="shared" si="36"/>
        <v>C</v>
      </c>
    </row>
    <row r="222" spans="1:67" x14ac:dyDescent="0.35">
      <c r="A222" s="15">
        <v>221</v>
      </c>
      <c r="B222" s="10" t="s">
        <v>226</v>
      </c>
      <c r="C222" s="11">
        <v>26</v>
      </c>
      <c r="D222" s="11">
        <v>1</v>
      </c>
      <c r="E222" s="11">
        <v>1</v>
      </c>
      <c r="F222" s="11">
        <v>1</v>
      </c>
      <c r="G222" s="11">
        <v>1</v>
      </c>
      <c r="H222" s="11">
        <v>1</v>
      </c>
      <c r="I222" s="11">
        <v>1</v>
      </c>
      <c r="J222" s="11">
        <v>1</v>
      </c>
      <c r="K222" s="11">
        <v>1</v>
      </c>
      <c r="L222" s="11">
        <v>1</v>
      </c>
      <c r="M222" s="11">
        <v>1</v>
      </c>
      <c r="N222" s="11">
        <v>1</v>
      </c>
      <c r="O222" s="11">
        <v>0</v>
      </c>
      <c r="P222" s="11">
        <v>0</v>
      </c>
      <c r="Q222" s="11">
        <v>0</v>
      </c>
      <c r="R222" s="11">
        <v>0</v>
      </c>
      <c r="S222" s="11">
        <v>1</v>
      </c>
      <c r="T222" s="11">
        <v>0</v>
      </c>
      <c r="U222" s="11">
        <v>1</v>
      </c>
      <c r="V222" s="11">
        <v>1</v>
      </c>
      <c r="W222" s="11">
        <v>1</v>
      </c>
      <c r="X222" s="11">
        <v>0</v>
      </c>
      <c r="Y222" s="11">
        <v>1</v>
      </c>
      <c r="Z222" s="11">
        <v>1</v>
      </c>
      <c r="AA222" s="11">
        <v>0</v>
      </c>
      <c r="AB222" s="11">
        <v>0</v>
      </c>
      <c r="AC222" s="11">
        <v>1</v>
      </c>
      <c r="AD222" s="11">
        <v>0</v>
      </c>
      <c r="AE222" s="11">
        <v>1</v>
      </c>
      <c r="AF222" s="11">
        <v>0</v>
      </c>
      <c r="AG222" s="11">
        <v>1</v>
      </c>
      <c r="AH222" s="11">
        <v>1</v>
      </c>
      <c r="AI222" s="11">
        <v>1</v>
      </c>
      <c r="AJ222" s="11">
        <v>1</v>
      </c>
      <c r="AK222" s="11">
        <v>1</v>
      </c>
      <c r="AL222" s="11">
        <v>1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1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5">
        <f t="shared" si="37"/>
        <v>78.751083115872319</v>
      </c>
      <c r="BH222" s="3">
        <f t="shared" si="38"/>
        <v>20.111335278880585</v>
      </c>
      <c r="BI222" s="3">
        <f t="shared" si="39"/>
        <v>34.888664721119412</v>
      </c>
      <c r="BJ222" s="3">
        <f t="shared" si="31"/>
        <v>-0.55087838302938696</v>
      </c>
      <c r="BK222" s="3">
        <f t="shared" si="32"/>
        <v>-0.45609683602320777</v>
      </c>
      <c r="BL222" s="3">
        <f t="shared" si="33"/>
        <v>0.94333424358242735</v>
      </c>
      <c r="BM222" s="3">
        <f t="shared" si="34"/>
        <v>-0.10047504121787698</v>
      </c>
      <c r="BN222" s="3">
        <f t="shared" si="35"/>
        <v>48.995249587821228</v>
      </c>
      <c r="BO222" s="2" t="str">
        <f t="shared" si="36"/>
        <v>C</v>
      </c>
    </row>
    <row r="223" spans="1:67" x14ac:dyDescent="0.35">
      <c r="A223" s="15">
        <v>222</v>
      </c>
      <c r="B223" s="12">
        <v>3028000</v>
      </c>
      <c r="C223" s="11">
        <v>27</v>
      </c>
      <c r="D223" s="11">
        <v>1</v>
      </c>
      <c r="E223" s="11">
        <v>1</v>
      </c>
      <c r="F223" s="11">
        <v>1</v>
      </c>
      <c r="G223" s="11">
        <v>1</v>
      </c>
      <c r="H223" s="11">
        <v>1</v>
      </c>
      <c r="I223" s="11">
        <v>1</v>
      </c>
      <c r="J223" s="11">
        <v>1</v>
      </c>
      <c r="K223" s="11">
        <v>1</v>
      </c>
      <c r="L223" s="11">
        <v>0</v>
      </c>
      <c r="M223" s="11">
        <v>1</v>
      </c>
      <c r="N223" s="11">
        <v>1</v>
      </c>
      <c r="O223" s="11">
        <v>1</v>
      </c>
      <c r="P223" s="11">
        <v>1</v>
      </c>
      <c r="Q223" s="11">
        <v>1</v>
      </c>
      <c r="R223" s="11">
        <v>0</v>
      </c>
      <c r="S223" s="11">
        <v>1</v>
      </c>
      <c r="T223" s="11">
        <v>1</v>
      </c>
      <c r="U223" s="11">
        <v>1</v>
      </c>
      <c r="V223" s="11">
        <v>1</v>
      </c>
      <c r="W223" s="11">
        <v>1</v>
      </c>
      <c r="X223" s="11">
        <v>1</v>
      </c>
      <c r="Y223" s="11">
        <v>1</v>
      </c>
      <c r="Z223" s="11">
        <v>1</v>
      </c>
      <c r="AA223" s="11">
        <v>0</v>
      </c>
      <c r="AB223" s="11">
        <v>0</v>
      </c>
      <c r="AC223" s="11">
        <v>1</v>
      </c>
      <c r="AD223" s="11">
        <v>0</v>
      </c>
      <c r="AE223" s="11">
        <v>1</v>
      </c>
      <c r="AF223" s="11">
        <v>1</v>
      </c>
      <c r="AG223" s="11">
        <v>0</v>
      </c>
      <c r="AH223" s="11">
        <v>1</v>
      </c>
      <c r="AI223" s="11">
        <v>0</v>
      </c>
      <c r="AJ223" s="11">
        <v>0</v>
      </c>
      <c r="AK223" s="11">
        <v>1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1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5">
        <f t="shared" si="37"/>
        <v>78.739704472678028</v>
      </c>
      <c r="BH223" s="3">
        <f t="shared" si="38"/>
        <v>20.108429417789605</v>
      </c>
      <c r="BI223" s="3">
        <f t="shared" si="39"/>
        <v>34.891570582210392</v>
      </c>
      <c r="BJ223" s="3">
        <f t="shared" si="31"/>
        <v>-0.55110616826777148</v>
      </c>
      <c r="BK223" s="3">
        <f t="shared" si="32"/>
        <v>-0.45609683602320777</v>
      </c>
      <c r="BL223" s="3">
        <f t="shared" si="33"/>
        <v>0.94333424358242735</v>
      </c>
      <c r="BM223" s="3">
        <f t="shared" si="34"/>
        <v>-0.10071650943546173</v>
      </c>
      <c r="BN223" s="3">
        <f t="shared" si="35"/>
        <v>48.992834905645381</v>
      </c>
      <c r="BO223" s="2" t="str">
        <f t="shared" si="36"/>
        <v>C</v>
      </c>
    </row>
    <row r="224" spans="1:67" x14ac:dyDescent="0.35">
      <c r="A224" s="1">
        <v>223</v>
      </c>
      <c r="B224" s="12">
        <v>8888001</v>
      </c>
      <c r="C224" s="11">
        <v>26</v>
      </c>
      <c r="D224" s="11">
        <v>1</v>
      </c>
      <c r="E224" s="11">
        <v>1</v>
      </c>
      <c r="F224" s="11">
        <v>0</v>
      </c>
      <c r="G224" s="11">
        <v>1</v>
      </c>
      <c r="H224" s="11">
        <v>1</v>
      </c>
      <c r="I224" s="11">
        <v>1</v>
      </c>
      <c r="J224" s="11">
        <v>1</v>
      </c>
      <c r="K224" s="11">
        <v>1</v>
      </c>
      <c r="L224" s="11">
        <v>0</v>
      </c>
      <c r="M224" s="11">
        <v>1</v>
      </c>
      <c r="N224" s="11">
        <v>1</v>
      </c>
      <c r="O224" s="11">
        <v>1</v>
      </c>
      <c r="P224" s="11">
        <v>1</v>
      </c>
      <c r="Q224" s="11">
        <v>1</v>
      </c>
      <c r="R224" s="11">
        <v>1</v>
      </c>
      <c r="S224" s="11">
        <v>1</v>
      </c>
      <c r="T224" s="11">
        <v>1</v>
      </c>
      <c r="U224" s="11">
        <v>1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1</v>
      </c>
      <c r="AD224" s="11">
        <v>1</v>
      </c>
      <c r="AE224" s="11">
        <v>1</v>
      </c>
      <c r="AF224" s="11">
        <v>1</v>
      </c>
      <c r="AG224" s="11">
        <v>1</v>
      </c>
      <c r="AH224" s="11">
        <v>1</v>
      </c>
      <c r="AI224" s="11">
        <v>0</v>
      </c>
      <c r="AJ224" s="11">
        <v>1</v>
      </c>
      <c r="AK224" s="11">
        <v>0</v>
      </c>
      <c r="AL224" s="11">
        <v>1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AZ224" s="11">
        <v>0</v>
      </c>
      <c r="BA224" s="11">
        <v>1</v>
      </c>
      <c r="BB224" s="11">
        <v>1</v>
      </c>
      <c r="BC224" s="11">
        <v>0</v>
      </c>
      <c r="BD224" s="11">
        <v>0</v>
      </c>
      <c r="BE224" s="11">
        <v>0</v>
      </c>
      <c r="BF224" s="11">
        <v>0</v>
      </c>
      <c r="BG224" s="5">
        <f t="shared" si="37"/>
        <v>78.726896333936111</v>
      </c>
      <c r="BH224" s="3">
        <f t="shared" si="38"/>
        <v>20.105158494237251</v>
      </c>
      <c r="BI224" s="3">
        <f t="shared" si="39"/>
        <v>34.894841505762749</v>
      </c>
      <c r="BJ224" s="3">
        <f t="shared" si="31"/>
        <v>-0.55136258678334926</v>
      </c>
      <c r="BK224" s="3">
        <f t="shared" si="32"/>
        <v>-0.45609683602320777</v>
      </c>
      <c r="BL224" s="3">
        <f t="shared" si="33"/>
        <v>0.94333424358242735</v>
      </c>
      <c r="BM224" s="3">
        <f t="shared" si="34"/>
        <v>-0.10098833092113579</v>
      </c>
      <c r="BN224" s="3">
        <f t="shared" si="35"/>
        <v>48.990116690788639</v>
      </c>
      <c r="BO224" s="2" t="str">
        <f t="shared" si="36"/>
        <v>C</v>
      </c>
    </row>
    <row r="225" spans="1:67" x14ac:dyDescent="0.35">
      <c r="A225" s="15">
        <v>224</v>
      </c>
      <c r="B225" s="10" t="s">
        <v>227</v>
      </c>
      <c r="C225" s="11">
        <v>26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  <c r="I225" s="11">
        <v>1</v>
      </c>
      <c r="J225" s="11">
        <v>1</v>
      </c>
      <c r="K225" s="11">
        <v>1</v>
      </c>
      <c r="L225" s="11">
        <v>1</v>
      </c>
      <c r="M225" s="11">
        <v>1</v>
      </c>
      <c r="N225" s="11">
        <v>1</v>
      </c>
      <c r="O225" s="11">
        <v>0</v>
      </c>
      <c r="P225" s="11">
        <v>0</v>
      </c>
      <c r="Q225" s="11">
        <v>1</v>
      </c>
      <c r="R225" s="11">
        <v>1</v>
      </c>
      <c r="S225" s="11">
        <v>1</v>
      </c>
      <c r="T225" s="11">
        <v>1</v>
      </c>
      <c r="U225" s="11">
        <v>1</v>
      </c>
      <c r="V225" s="11">
        <v>1</v>
      </c>
      <c r="W225" s="11">
        <v>1</v>
      </c>
      <c r="X225" s="11">
        <v>0</v>
      </c>
      <c r="Y225" s="11">
        <v>0</v>
      </c>
      <c r="Z225" s="11">
        <v>1</v>
      </c>
      <c r="AA225" s="11">
        <v>0</v>
      </c>
      <c r="AB225" s="11">
        <v>0</v>
      </c>
      <c r="AC225" s="11">
        <v>0</v>
      </c>
      <c r="AD225" s="11">
        <v>0</v>
      </c>
      <c r="AE225" s="11">
        <v>1</v>
      </c>
      <c r="AF225" s="11">
        <v>1</v>
      </c>
      <c r="AG225" s="11">
        <v>1</v>
      </c>
      <c r="AH225" s="11">
        <v>0</v>
      </c>
      <c r="AI225" s="11">
        <v>1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1</v>
      </c>
      <c r="BA225" s="11">
        <v>1</v>
      </c>
      <c r="BB225" s="11">
        <v>1</v>
      </c>
      <c r="BC225" s="11">
        <v>0</v>
      </c>
      <c r="BD225" s="11">
        <v>0</v>
      </c>
      <c r="BE225" s="11">
        <v>0</v>
      </c>
      <c r="BF225" s="11">
        <v>0</v>
      </c>
      <c r="BG225" s="5">
        <f t="shared" si="37"/>
        <v>78.226986852867796</v>
      </c>
      <c r="BH225" s="3">
        <f t="shared" si="38"/>
        <v>19.977492349403875</v>
      </c>
      <c r="BI225" s="3">
        <f t="shared" si="39"/>
        <v>35.022507650596125</v>
      </c>
      <c r="BJ225" s="3">
        <f t="shared" si="31"/>
        <v>-0.56138467323036745</v>
      </c>
      <c r="BK225" s="3">
        <f t="shared" si="32"/>
        <v>-0.45609683602320777</v>
      </c>
      <c r="BL225" s="3">
        <f t="shared" si="33"/>
        <v>0.94333424358242735</v>
      </c>
      <c r="BM225" s="3">
        <f t="shared" si="34"/>
        <v>-0.11161244057813084</v>
      </c>
      <c r="BN225" s="3">
        <f t="shared" si="35"/>
        <v>48.883875594218694</v>
      </c>
      <c r="BO225" s="2" t="str">
        <f t="shared" si="36"/>
        <v>C</v>
      </c>
    </row>
    <row r="226" spans="1:67" x14ac:dyDescent="0.35">
      <c r="A226" s="15">
        <v>225</v>
      </c>
      <c r="B226" s="10" t="s">
        <v>228</v>
      </c>
      <c r="C226" s="11">
        <v>25</v>
      </c>
      <c r="D226" s="11">
        <v>1</v>
      </c>
      <c r="E226" s="11">
        <v>1</v>
      </c>
      <c r="F226" s="11">
        <v>1</v>
      </c>
      <c r="G226" s="11">
        <v>1</v>
      </c>
      <c r="H226" s="11">
        <v>1</v>
      </c>
      <c r="I226" s="11">
        <v>1</v>
      </c>
      <c r="J226" s="11">
        <v>1</v>
      </c>
      <c r="K226" s="11">
        <v>1</v>
      </c>
      <c r="L226" s="11">
        <v>1</v>
      </c>
      <c r="M226" s="11">
        <v>1</v>
      </c>
      <c r="N226" s="11">
        <v>1</v>
      </c>
      <c r="O226" s="11">
        <v>0</v>
      </c>
      <c r="P226" s="11">
        <v>0</v>
      </c>
      <c r="Q226" s="11">
        <v>1</v>
      </c>
      <c r="R226" s="11">
        <v>1</v>
      </c>
      <c r="S226" s="11">
        <v>0</v>
      </c>
      <c r="T226" s="11">
        <v>0</v>
      </c>
      <c r="U226" s="11">
        <v>1</v>
      </c>
      <c r="V226" s="11">
        <v>0</v>
      </c>
      <c r="W226" s="11">
        <v>0</v>
      </c>
      <c r="X226" s="11">
        <v>0</v>
      </c>
      <c r="Y226" s="11">
        <v>1</v>
      </c>
      <c r="Z226" s="11">
        <v>1</v>
      </c>
      <c r="AA226" s="11">
        <v>0</v>
      </c>
      <c r="AB226" s="11">
        <v>0</v>
      </c>
      <c r="AC226" s="11">
        <v>1</v>
      </c>
      <c r="AD226" s="11">
        <v>0</v>
      </c>
      <c r="AE226" s="11">
        <v>1</v>
      </c>
      <c r="AF226" s="11">
        <v>0</v>
      </c>
      <c r="AG226" s="11">
        <v>0</v>
      </c>
      <c r="AH226" s="11">
        <v>0</v>
      </c>
      <c r="AI226" s="11">
        <v>0</v>
      </c>
      <c r="AJ226" s="11">
        <v>1</v>
      </c>
      <c r="AK226" s="11">
        <v>1</v>
      </c>
      <c r="AL226" s="11">
        <v>1</v>
      </c>
      <c r="AM226" s="11">
        <v>0</v>
      </c>
      <c r="AN226" s="11">
        <v>0</v>
      </c>
      <c r="AO226" s="11">
        <v>0</v>
      </c>
      <c r="AP226" s="11">
        <v>1</v>
      </c>
      <c r="AQ226" s="11">
        <v>0</v>
      </c>
      <c r="AR226" s="11">
        <v>1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1</v>
      </c>
      <c r="BB226" s="11">
        <v>0</v>
      </c>
      <c r="BC226" s="11">
        <v>0</v>
      </c>
      <c r="BD226" s="11">
        <v>1</v>
      </c>
      <c r="BE226" s="11">
        <v>0</v>
      </c>
      <c r="BF226" s="11">
        <v>0</v>
      </c>
      <c r="BG226" s="5">
        <f t="shared" si="37"/>
        <v>78.137469422926316</v>
      </c>
      <c r="BH226" s="3">
        <f t="shared" si="38"/>
        <v>19.954631520376193</v>
      </c>
      <c r="BI226" s="3">
        <f t="shared" si="39"/>
        <v>35.045368479623804</v>
      </c>
      <c r="BJ226" s="3">
        <f t="shared" si="31"/>
        <v>-0.5631821915660804</v>
      </c>
      <c r="BK226" s="3">
        <f t="shared" si="32"/>
        <v>-0.45609683602320777</v>
      </c>
      <c r="BL226" s="3">
        <f t="shared" si="33"/>
        <v>0.94333424358242735</v>
      </c>
      <c r="BM226" s="3">
        <f t="shared" si="34"/>
        <v>-0.11351793520841867</v>
      </c>
      <c r="BN226" s="3">
        <f t="shared" si="35"/>
        <v>48.864820647915813</v>
      </c>
      <c r="BO226" s="2" t="str">
        <f t="shared" si="36"/>
        <v>C</v>
      </c>
    </row>
    <row r="227" spans="1:67" x14ac:dyDescent="0.35">
      <c r="A227" s="1">
        <v>226</v>
      </c>
      <c r="B227" s="12">
        <v>7650293</v>
      </c>
      <c r="C227" s="11">
        <v>25</v>
      </c>
      <c r="D227" s="11">
        <v>1</v>
      </c>
      <c r="E227" s="11">
        <v>1</v>
      </c>
      <c r="F227" s="11">
        <v>1</v>
      </c>
      <c r="G227" s="11">
        <v>1</v>
      </c>
      <c r="H227" s="11">
        <v>1</v>
      </c>
      <c r="I227" s="11">
        <v>0</v>
      </c>
      <c r="J227" s="11">
        <v>1</v>
      </c>
      <c r="K227" s="11">
        <v>1</v>
      </c>
      <c r="L227" s="11">
        <v>1</v>
      </c>
      <c r="M227" s="11">
        <v>1</v>
      </c>
      <c r="N227" s="11">
        <v>0</v>
      </c>
      <c r="O227" s="11">
        <v>1</v>
      </c>
      <c r="P227" s="11">
        <v>0</v>
      </c>
      <c r="Q227" s="11">
        <v>1</v>
      </c>
      <c r="R227" s="11">
        <v>0</v>
      </c>
      <c r="S227" s="11">
        <v>1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1</v>
      </c>
      <c r="AA227" s="11">
        <v>0</v>
      </c>
      <c r="AB227" s="11">
        <v>0</v>
      </c>
      <c r="AC227" s="11">
        <v>1</v>
      </c>
      <c r="AD227" s="11">
        <v>0</v>
      </c>
      <c r="AE227" s="11">
        <v>1</v>
      </c>
      <c r="AF227" s="11">
        <v>1</v>
      </c>
      <c r="AG227" s="11">
        <v>1</v>
      </c>
      <c r="AH227" s="11">
        <v>0</v>
      </c>
      <c r="AI227" s="11">
        <v>1</v>
      </c>
      <c r="AJ227" s="11">
        <v>0</v>
      </c>
      <c r="AK227" s="11">
        <v>1</v>
      </c>
      <c r="AL227" s="11">
        <v>1</v>
      </c>
      <c r="AM227" s="11">
        <v>0</v>
      </c>
      <c r="AN227" s="11">
        <v>0</v>
      </c>
      <c r="AO227" s="11">
        <v>0</v>
      </c>
      <c r="AP227" s="11">
        <v>0</v>
      </c>
      <c r="AQ227" s="11">
        <v>1</v>
      </c>
      <c r="AR227" s="11">
        <v>0</v>
      </c>
      <c r="AS227" s="11">
        <v>0</v>
      </c>
      <c r="AT227" s="11">
        <v>1</v>
      </c>
      <c r="AU227" s="11">
        <v>0</v>
      </c>
      <c r="AV227" s="11">
        <v>0</v>
      </c>
      <c r="AW227" s="11">
        <v>1</v>
      </c>
      <c r="AX227" s="11">
        <v>0</v>
      </c>
      <c r="AY227" s="11">
        <v>0</v>
      </c>
      <c r="AZ227" s="11">
        <v>0</v>
      </c>
      <c r="BA227" s="11">
        <v>1</v>
      </c>
      <c r="BB227" s="11">
        <v>1</v>
      </c>
      <c r="BC227" s="11">
        <v>0</v>
      </c>
      <c r="BD227" s="11">
        <v>0</v>
      </c>
      <c r="BE227" s="11">
        <v>0</v>
      </c>
      <c r="BF227" s="11">
        <v>0</v>
      </c>
      <c r="BG227" s="5">
        <f t="shared" si="37"/>
        <v>78.121164816422862</v>
      </c>
      <c r="BH227" s="3">
        <f t="shared" si="38"/>
        <v>19.950467674051708</v>
      </c>
      <c r="BI227" s="3">
        <f t="shared" si="39"/>
        <v>35.049532325948292</v>
      </c>
      <c r="BJ227" s="3">
        <f t="shared" si="31"/>
        <v>-0.56350968496786069</v>
      </c>
      <c r="BK227" s="3">
        <f t="shared" si="32"/>
        <v>-0.45609683602320777</v>
      </c>
      <c r="BL227" s="3">
        <f t="shared" si="33"/>
        <v>0.94333424358242735</v>
      </c>
      <c r="BM227" s="3">
        <f t="shared" si="34"/>
        <v>-0.11386510102372566</v>
      </c>
      <c r="BN227" s="3">
        <f t="shared" si="35"/>
        <v>48.861348989762746</v>
      </c>
      <c r="BO227" s="2" t="str">
        <f t="shared" si="36"/>
        <v>C</v>
      </c>
    </row>
    <row r="228" spans="1:67" x14ac:dyDescent="0.35">
      <c r="A228" s="15">
        <v>227</v>
      </c>
      <c r="B228" s="10" t="s">
        <v>229</v>
      </c>
      <c r="C228" s="11">
        <v>26</v>
      </c>
      <c r="D228" s="11">
        <v>1</v>
      </c>
      <c r="E228" s="11">
        <v>1</v>
      </c>
      <c r="F228" s="11">
        <v>1</v>
      </c>
      <c r="G228" s="11">
        <v>1</v>
      </c>
      <c r="H228" s="11">
        <v>1</v>
      </c>
      <c r="I228" s="11">
        <v>1</v>
      </c>
      <c r="J228" s="11">
        <v>1</v>
      </c>
      <c r="K228" s="11">
        <v>1</v>
      </c>
      <c r="L228" s="11">
        <v>1</v>
      </c>
      <c r="M228" s="11">
        <v>1</v>
      </c>
      <c r="N228" s="11">
        <v>1</v>
      </c>
      <c r="O228" s="11">
        <v>1</v>
      </c>
      <c r="P228" s="11">
        <v>1</v>
      </c>
      <c r="Q228" s="11">
        <v>1</v>
      </c>
      <c r="R228" s="11">
        <v>1</v>
      </c>
      <c r="S228" s="11">
        <v>1</v>
      </c>
      <c r="T228" s="11">
        <v>1</v>
      </c>
      <c r="U228" s="11">
        <v>1</v>
      </c>
      <c r="V228" s="11">
        <v>1</v>
      </c>
      <c r="W228" s="11">
        <v>1</v>
      </c>
      <c r="X228" s="11">
        <v>0</v>
      </c>
      <c r="Y228" s="11">
        <v>1</v>
      </c>
      <c r="Z228" s="11">
        <v>0</v>
      </c>
      <c r="AA228" s="11">
        <v>1</v>
      </c>
      <c r="AB228" s="11">
        <v>1</v>
      </c>
      <c r="AC228" s="11">
        <v>0</v>
      </c>
      <c r="AD228" s="11">
        <v>0</v>
      </c>
      <c r="AE228" s="11">
        <v>0</v>
      </c>
      <c r="AF228" s="11">
        <v>1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1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1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5">
        <f t="shared" si="37"/>
        <v>78.085020760467458</v>
      </c>
      <c r="BH228" s="3">
        <f t="shared" si="38"/>
        <v>19.94123725843205</v>
      </c>
      <c r="BI228" s="3">
        <f t="shared" si="39"/>
        <v>35.058762741567946</v>
      </c>
      <c r="BJ228" s="3">
        <f t="shared" si="31"/>
        <v>-0.56423577744864184</v>
      </c>
      <c r="BK228" s="3">
        <f t="shared" si="32"/>
        <v>-0.45609683602320777</v>
      </c>
      <c r="BL228" s="3">
        <f t="shared" si="33"/>
        <v>0.94333424358242735</v>
      </c>
      <c r="BM228" s="3">
        <f t="shared" si="34"/>
        <v>-0.11463480962459625</v>
      </c>
      <c r="BN228" s="3">
        <f t="shared" si="35"/>
        <v>48.853651903754034</v>
      </c>
      <c r="BO228" s="2" t="str">
        <f t="shared" si="36"/>
        <v>C</v>
      </c>
    </row>
    <row r="229" spans="1:67" x14ac:dyDescent="0.35">
      <c r="A229" s="15">
        <v>228</v>
      </c>
      <c r="B229" s="10" t="s">
        <v>230</v>
      </c>
      <c r="C229" s="11">
        <v>26</v>
      </c>
      <c r="D229" s="11">
        <v>1</v>
      </c>
      <c r="E229" s="11">
        <v>1</v>
      </c>
      <c r="F229" s="11">
        <v>1</v>
      </c>
      <c r="G229" s="11">
        <v>1</v>
      </c>
      <c r="H229" s="11">
        <v>1</v>
      </c>
      <c r="I229" s="11">
        <v>1</v>
      </c>
      <c r="J229" s="11">
        <v>1</v>
      </c>
      <c r="K229" s="11">
        <v>1</v>
      </c>
      <c r="L229" s="11">
        <v>1</v>
      </c>
      <c r="M229" s="11">
        <v>1</v>
      </c>
      <c r="N229" s="11">
        <v>1</v>
      </c>
      <c r="O229" s="11">
        <v>1</v>
      </c>
      <c r="P229" s="11">
        <v>1</v>
      </c>
      <c r="Q229" s="11">
        <v>1</v>
      </c>
      <c r="R229" s="11">
        <v>1</v>
      </c>
      <c r="S229" s="11">
        <v>0</v>
      </c>
      <c r="T229" s="11">
        <v>1</v>
      </c>
      <c r="U229" s="11">
        <v>1</v>
      </c>
      <c r="V229" s="11">
        <v>1</v>
      </c>
      <c r="W229" s="11">
        <v>1</v>
      </c>
      <c r="X229" s="11">
        <v>1</v>
      </c>
      <c r="Y229" s="11">
        <v>1</v>
      </c>
      <c r="Z229" s="11">
        <v>1</v>
      </c>
      <c r="AA229" s="11">
        <v>1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1</v>
      </c>
      <c r="AJ229" s="11">
        <v>0</v>
      </c>
      <c r="AK229" s="11">
        <v>0</v>
      </c>
      <c r="AL229" s="11">
        <v>0</v>
      </c>
      <c r="AM229" s="11">
        <v>1</v>
      </c>
      <c r="AN229" s="11">
        <v>0</v>
      </c>
      <c r="AO229" s="11">
        <v>0</v>
      </c>
      <c r="AP229" s="11">
        <v>0</v>
      </c>
      <c r="AQ229" s="11">
        <v>1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5">
        <f t="shared" si="37"/>
        <v>77.992290554687997</v>
      </c>
      <c r="BH229" s="3">
        <f t="shared" si="38"/>
        <v>19.917555955456617</v>
      </c>
      <c r="BI229" s="3">
        <f t="shared" si="39"/>
        <v>35.082444044543379</v>
      </c>
      <c r="BJ229" s="3">
        <f t="shared" si="31"/>
        <v>-0.56609928404423193</v>
      </c>
      <c r="BK229" s="3">
        <f t="shared" si="32"/>
        <v>-0.45609683602320777</v>
      </c>
      <c r="BL229" s="3">
        <f t="shared" si="33"/>
        <v>0.94333424358242735</v>
      </c>
      <c r="BM229" s="3">
        <f t="shared" si="34"/>
        <v>-0.11661025640633631</v>
      </c>
      <c r="BN229" s="3">
        <f t="shared" si="35"/>
        <v>48.833897435936635</v>
      </c>
      <c r="BO229" s="2" t="str">
        <f t="shared" si="36"/>
        <v>C</v>
      </c>
    </row>
    <row r="230" spans="1:67" x14ac:dyDescent="0.35">
      <c r="A230" s="1">
        <v>229</v>
      </c>
      <c r="B230" s="10" t="s">
        <v>231</v>
      </c>
      <c r="C230" s="11">
        <v>26</v>
      </c>
      <c r="D230" s="11">
        <v>1</v>
      </c>
      <c r="E230" s="11">
        <v>1</v>
      </c>
      <c r="F230" s="11">
        <v>1</v>
      </c>
      <c r="G230" s="11">
        <v>1</v>
      </c>
      <c r="H230" s="11">
        <v>1</v>
      </c>
      <c r="I230" s="11">
        <v>1</v>
      </c>
      <c r="J230" s="11">
        <v>1</v>
      </c>
      <c r="K230" s="11">
        <v>1</v>
      </c>
      <c r="L230" s="11">
        <v>1</v>
      </c>
      <c r="M230" s="11">
        <v>1</v>
      </c>
      <c r="N230" s="11">
        <v>1</v>
      </c>
      <c r="O230" s="11">
        <v>1</v>
      </c>
      <c r="P230" s="11">
        <v>0</v>
      </c>
      <c r="Q230" s="11">
        <v>1</v>
      </c>
      <c r="R230" s="11">
        <v>1</v>
      </c>
      <c r="S230" s="11">
        <v>1</v>
      </c>
      <c r="T230" s="11">
        <v>1</v>
      </c>
      <c r="U230" s="11">
        <v>1</v>
      </c>
      <c r="V230" s="11">
        <v>0</v>
      </c>
      <c r="W230" s="11">
        <v>1</v>
      </c>
      <c r="X230" s="11">
        <v>1</v>
      </c>
      <c r="Y230" s="11">
        <v>1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1</v>
      </c>
      <c r="AF230" s="11">
        <v>0</v>
      </c>
      <c r="AG230" s="11">
        <v>0</v>
      </c>
      <c r="AH230" s="11">
        <v>1</v>
      </c>
      <c r="AI230" s="11">
        <v>1</v>
      </c>
      <c r="AJ230" s="11">
        <v>0</v>
      </c>
      <c r="AK230" s="11">
        <v>0</v>
      </c>
      <c r="AL230" s="11">
        <v>1</v>
      </c>
      <c r="AM230" s="11">
        <v>1</v>
      </c>
      <c r="AN230" s="11">
        <v>1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5">
        <f t="shared" si="37"/>
        <v>77.899304356461741</v>
      </c>
      <c r="BH230" s="3">
        <f t="shared" si="38"/>
        <v>19.893809277508264</v>
      </c>
      <c r="BI230" s="3">
        <f t="shared" si="39"/>
        <v>35.106190722491732</v>
      </c>
      <c r="BJ230" s="3">
        <f t="shared" si="31"/>
        <v>-0.5679688970310196</v>
      </c>
      <c r="BK230" s="3">
        <f t="shared" si="32"/>
        <v>-0.45609683602320777</v>
      </c>
      <c r="BL230" s="3">
        <f t="shared" si="33"/>
        <v>0.94333424358242735</v>
      </c>
      <c r="BM230" s="3">
        <f t="shared" si="34"/>
        <v>-0.1185921763880467</v>
      </c>
      <c r="BN230" s="3">
        <f t="shared" si="35"/>
        <v>48.814078236119535</v>
      </c>
      <c r="BO230" s="2" t="str">
        <f t="shared" si="36"/>
        <v>C</v>
      </c>
    </row>
    <row r="231" spans="1:67" x14ac:dyDescent="0.35">
      <c r="A231" s="15">
        <v>230</v>
      </c>
      <c r="B231" s="12">
        <v>7171777</v>
      </c>
      <c r="C231" s="11">
        <v>25</v>
      </c>
      <c r="D231" s="11">
        <v>1</v>
      </c>
      <c r="E231" s="11">
        <v>0</v>
      </c>
      <c r="F231" s="11">
        <v>0</v>
      </c>
      <c r="G231" s="11">
        <v>1</v>
      </c>
      <c r="H231" s="11">
        <v>1</v>
      </c>
      <c r="I231" s="11">
        <v>1</v>
      </c>
      <c r="J231" s="11">
        <v>1</v>
      </c>
      <c r="K231" s="11">
        <v>1</v>
      </c>
      <c r="L231" s="11">
        <v>1</v>
      </c>
      <c r="M231" s="11">
        <v>1</v>
      </c>
      <c r="N231" s="11">
        <v>0</v>
      </c>
      <c r="O231" s="11">
        <v>1</v>
      </c>
      <c r="P231" s="11">
        <v>1</v>
      </c>
      <c r="Q231" s="11">
        <v>1</v>
      </c>
      <c r="R231" s="11">
        <v>1</v>
      </c>
      <c r="S231" s="11">
        <v>1</v>
      </c>
      <c r="T231" s="11">
        <v>1</v>
      </c>
      <c r="U231" s="11">
        <v>1</v>
      </c>
      <c r="V231" s="11">
        <v>1</v>
      </c>
      <c r="W231" s="11">
        <v>0</v>
      </c>
      <c r="X231" s="11">
        <v>1</v>
      </c>
      <c r="Y231" s="11">
        <v>0</v>
      </c>
      <c r="Z231" s="11">
        <v>1</v>
      </c>
      <c r="AA231" s="11">
        <v>0</v>
      </c>
      <c r="AB231" s="11">
        <v>1</v>
      </c>
      <c r="AC231" s="11">
        <v>1</v>
      </c>
      <c r="AD231" s="11">
        <v>0</v>
      </c>
      <c r="AE231" s="11">
        <v>1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1</v>
      </c>
      <c r="AM231" s="11">
        <v>1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1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1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5">
        <f t="shared" si="37"/>
        <v>77.87593786779118</v>
      </c>
      <c r="BH231" s="3">
        <f t="shared" si="38"/>
        <v>19.887841978147414</v>
      </c>
      <c r="BI231" s="3">
        <f t="shared" si="39"/>
        <v>35.112158021852586</v>
      </c>
      <c r="BJ231" s="3">
        <f t="shared" si="31"/>
        <v>-0.56843886373538521</v>
      </c>
      <c r="BK231" s="3">
        <f t="shared" si="32"/>
        <v>-0.45609683602320777</v>
      </c>
      <c r="BL231" s="3">
        <f t="shared" si="33"/>
        <v>0.94333424358242735</v>
      </c>
      <c r="BM231" s="3">
        <f t="shared" si="34"/>
        <v>-0.11909037382714405</v>
      </c>
      <c r="BN231" s="3">
        <f t="shared" si="35"/>
        <v>48.809096261728563</v>
      </c>
      <c r="BO231" s="2" t="str">
        <f t="shared" si="36"/>
        <v>C</v>
      </c>
    </row>
    <row r="232" spans="1:67" x14ac:dyDescent="0.35">
      <c r="A232" s="15">
        <v>231</v>
      </c>
      <c r="B232" s="10" t="s">
        <v>232</v>
      </c>
      <c r="C232" s="11">
        <v>26</v>
      </c>
      <c r="D232" s="11">
        <v>1</v>
      </c>
      <c r="E232" s="11">
        <v>1</v>
      </c>
      <c r="F232" s="11">
        <v>1</v>
      </c>
      <c r="G232" s="11">
        <v>1</v>
      </c>
      <c r="H232" s="11">
        <v>1</v>
      </c>
      <c r="I232" s="11">
        <v>1</v>
      </c>
      <c r="J232" s="11">
        <v>1</v>
      </c>
      <c r="K232" s="11">
        <v>0</v>
      </c>
      <c r="L232" s="11">
        <v>1</v>
      </c>
      <c r="M232" s="11">
        <v>1</v>
      </c>
      <c r="N232" s="11">
        <v>1</v>
      </c>
      <c r="O232" s="11">
        <v>0</v>
      </c>
      <c r="P232" s="11">
        <v>0</v>
      </c>
      <c r="Q232" s="11">
        <v>1</v>
      </c>
      <c r="R232" s="11">
        <v>1</v>
      </c>
      <c r="S232" s="11">
        <v>1</v>
      </c>
      <c r="T232" s="11">
        <v>1</v>
      </c>
      <c r="U232" s="11">
        <v>1</v>
      </c>
      <c r="V232" s="11">
        <v>1</v>
      </c>
      <c r="W232" s="11">
        <v>1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1</v>
      </c>
      <c r="AD232" s="11">
        <v>0</v>
      </c>
      <c r="AE232" s="11">
        <v>1</v>
      </c>
      <c r="AF232" s="11">
        <v>1</v>
      </c>
      <c r="AG232" s="11">
        <v>1</v>
      </c>
      <c r="AH232" s="11">
        <v>0</v>
      </c>
      <c r="AI232" s="11">
        <v>1</v>
      </c>
      <c r="AJ232" s="11">
        <v>1</v>
      </c>
      <c r="AK232" s="11">
        <v>0</v>
      </c>
      <c r="AL232" s="11">
        <v>1</v>
      </c>
      <c r="AM232" s="11">
        <v>1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1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5">
        <f t="shared" si="37"/>
        <v>77.620097221102924</v>
      </c>
      <c r="BH232" s="3">
        <f t="shared" si="38"/>
        <v>19.822505771711466</v>
      </c>
      <c r="BI232" s="3">
        <f t="shared" si="39"/>
        <v>35.177494228288538</v>
      </c>
      <c r="BJ232" s="3">
        <f t="shared" si="31"/>
        <v>-0.57358856227222887</v>
      </c>
      <c r="BK232" s="3">
        <f t="shared" si="32"/>
        <v>-0.45609683602320777</v>
      </c>
      <c r="BL232" s="3">
        <f t="shared" si="33"/>
        <v>0.94333424358242735</v>
      </c>
      <c r="BM232" s="3">
        <f t="shared" si="34"/>
        <v>-0.12454941294490898</v>
      </c>
      <c r="BN232" s="3">
        <f t="shared" si="35"/>
        <v>48.754505870550908</v>
      </c>
      <c r="BO232" s="2" t="str">
        <f t="shared" si="36"/>
        <v>C</v>
      </c>
    </row>
    <row r="233" spans="1:67" x14ac:dyDescent="0.35">
      <c r="A233" s="1">
        <v>232</v>
      </c>
      <c r="B233" s="12">
        <v>2007041</v>
      </c>
      <c r="C233" s="11">
        <v>25</v>
      </c>
      <c r="D233" s="11">
        <v>0</v>
      </c>
      <c r="E233" s="11">
        <v>1</v>
      </c>
      <c r="F233" s="11">
        <v>1</v>
      </c>
      <c r="G233" s="11">
        <v>1</v>
      </c>
      <c r="H233" s="11">
        <v>1</v>
      </c>
      <c r="I233" s="11">
        <v>0</v>
      </c>
      <c r="J233" s="11">
        <v>1</v>
      </c>
      <c r="K233" s="11">
        <v>1</v>
      </c>
      <c r="L233" s="11">
        <v>1</v>
      </c>
      <c r="M233" s="11">
        <v>1</v>
      </c>
      <c r="N233" s="11">
        <v>1</v>
      </c>
      <c r="O233" s="11">
        <v>1</v>
      </c>
      <c r="P233" s="11">
        <v>0</v>
      </c>
      <c r="Q233" s="11">
        <v>1</v>
      </c>
      <c r="R233" s="11">
        <v>0</v>
      </c>
      <c r="S233" s="11">
        <v>0</v>
      </c>
      <c r="T233" s="11">
        <v>0</v>
      </c>
      <c r="U233" s="11">
        <v>1</v>
      </c>
      <c r="V233" s="11">
        <v>1</v>
      </c>
      <c r="W233" s="11">
        <v>1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1</v>
      </c>
      <c r="AD233" s="11">
        <v>1</v>
      </c>
      <c r="AE233" s="11">
        <v>1</v>
      </c>
      <c r="AF233" s="11">
        <v>1</v>
      </c>
      <c r="AG233" s="11">
        <v>1</v>
      </c>
      <c r="AH233" s="11">
        <v>1</v>
      </c>
      <c r="AI233" s="11">
        <v>1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1</v>
      </c>
      <c r="BB233" s="11">
        <v>1</v>
      </c>
      <c r="BC233" s="11">
        <v>1</v>
      </c>
      <c r="BD233" s="11">
        <v>1</v>
      </c>
      <c r="BE233" s="11">
        <v>0</v>
      </c>
      <c r="BF233" s="11">
        <v>0</v>
      </c>
      <c r="BG233" s="5">
        <f t="shared" si="37"/>
        <v>77.60720247820494</v>
      </c>
      <c r="BH233" s="3">
        <f t="shared" si="38"/>
        <v>19.819212731317659</v>
      </c>
      <c r="BI233" s="3">
        <f t="shared" si="39"/>
        <v>35.180787268682337</v>
      </c>
      <c r="BJ233" s="3">
        <f t="shared" si="31"/>
        <v>-0.57384831017100635</v>
      </c>
      <c r="BK233" s="3">
        <f t="shared" si="32"/>
        <v>-0.45609683602320777</v>
      </c>
      <c r="BL233" s="3">
        <f t="shared" si="33"/>
        <v>0.94333424358242735</v>
      </c>
      <c r="BM233" s="3">
        <f t="shared" si="34"/>
        <v>-0.12482476380866121</v>
      </c>
      <c r="BN233" s="3">
        <f t="shared" si="35"/>
        <v>48.75175236191339</v>
      </c>
      <c r="BO233" s="2" t="str">
        <f t="shared" si="36"/>
        <v>C</v>
      </c>
    </row>
    <row r="234" spans="1:67" x14ac:dyDescent="0.35">
      <c r="A234" s="15">
        <v>233</v>
      </c>
      <c r="B234" s="10" t="s">
        <v>233</v>
      </c>
      <c r="C234" s="11">
        <v>26</v>
      </c>
      <c r="D234" s="11">
        <v>0</v>
      </c>
      <c r="E234" s="11">
        <v>1</v>
      </c>
      <c r="F234" s="11">
        <v>1</v>
      </c>
      <c r="G234" s="11">
        <v>1</v>
      </c>
      <c r="H234" s="11">
        <v>1</v>
      </c>
      <c r="I234" s="11">
        <v>1</v>
      </c>
      <c r="J234" s="11">
        <v>1</v>
      </c>
      <c r="K234" s="11">
        <v>1</v>
      </c>
      <c r="L234" s="11">
        <v>0</v>
      </c>
      <c r="M234" s="11">
        <v>1</v>
      </c>
      <c r="N234" s="11">
        <v>1</v>
      </c>
      <c r="O234" s="11">
        <v>1</v>
      </c>
      <c r="P234" s="11">
        <v>0</v>
      </c>
      <c r="Q234" s="11">
        <v>1</v>
      </c>
      <c r="R234" s="11">
        <v>1</v>
      </c>
      <c r="S234" s="11">
        <v>1</v>
      </c>
      <c r="T234" s="11">
        <v>1</v>
      </c>
      <c r="U234" s="11">
        <v>1</v>
      </c>
      <c r="V234" s="11">
        <v>0</v>
      </c>
      <c r="W234" s="11">
        <v>1</v>
      </c>
      <c r="X234" s="11">
        <v>1</v>
      </c>
      <c r="Y234" s="11">
        <v>1</v>
      </c>
      <c r="Z234" s="11">
        <v>1</v>
      </c>
      <c r="AA234" s="11">
        <v>1</v>
      </c>
      <c r="AB234" s="11">
        <v>0</v>
      </c>
      <c r="AC234" s="11">
        <v>1</v>
      </c>
      <c r="AD234" s="11">
        <v>0</v>
      </c>
      <c r="AE234" s="11">
        <v>1</v>
      </c>
      <c r="AF234" s="11">
        <v>1</v>
      </c>
      <c r="AG234" s="11">
        <v>1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1</v>
      </c>
      <c r="AR234" s="11">
        <v>0</v>
      </c>
      <c r="AS234" s="11">
        <v>0</v>
      </c>
      <c r="AT234" s="11">
        <v>1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5">
        <f t="shared" si="37"/>
        <v>77.480471729961153</v>
      </c>
      <c r="BH234" s="3">
        <f t="shared" si="38"/>
        <v>19.786848420031632</v>
      </c>
      <c r="BI234" s="3">
        <f t="shared" si="39"/>
        <v>35.213151579968368</v>
      </c>
      <c r="BJ234" s="3">
        <f t="shared" si="31"/>
        <v>-0.57640214145741742</v>
      </c>
      <c r="BK234" s="3">
        <f t="shared" si="32"/>
        <v>-0.45609683602320777</v>
      </c>
      <c r="BL234" s="3">
        <f t="shared" si="33"/>
        <v>0.94333424358242735</v>
      </c>
      <c r="BM234" s="3">
        <f t="shared" si="34"/>
        <v>-0.12753200284274163</v>
      </c>
      <c r="BN234" s="3">
        <f t="shared" si="35"/>
        <v>48.724679971572584</v>
      </c>
      <c r="BO234" s="2" t="str">
        <f t="shared" si="36"/>
        <v>C</v>
      </c>
    </row>
    <row r="235" spans="1:67" x14ac:dyDescent="0.35">
      <c r="A235" s="15">
        <v>234</v>
      </c>
      <c r="B235" s="10" t="s">
        <v>234</v>
      </c>
      <c r="C235" s="11">
        <v>26</v>
      </c>
      <c r="D235" s="11">
        <v>1</v>
      </c>
      <c r="E235" s="11">
        <v>1</v>
      </c>
      <c r="F235" s="11">
        <v>1</v>
      </c>
      <c r="G235" s="11">
        <v>1</v>
      </c>
      <c r="H235" s="11">
        <v>1</v>
      </c>
      <c r="I235" s="11">
        <v>1</v>
      </c>
      <c r="J235" s="11">
        <v>1</v>
      </c>
      <c r="K235" s="11">
        <v>1</v>
      </c>
      <c r="L235" s="11">
        <v>1</v>
      </c>
      <c r="M235" s="11">
        <v>1</v>
      </c>
      <c r="N235" s="11">
        <v>1</v>
      </c>
      <c r="O235" s="11">
        <v>1</v>
      </c>
      <c r="P235" s="11">
        <v>0</v>
      </c>
      <c r="Q235" s="11">
        <v>1</v>
      </c>
      <c r="R235" s="11">
        <v>1</v>
      </c>
      <c r="S235" s="11">
        <v>1</v>
      </c>
      <c r="T235" s="11">
        <v>1</v>
      </c>
      <c r="U235" s="11">
        <v>1</v>
      </c>
      <c r="V235" s="11">
        <v>1</v>
      </c>
      <c r="W235" s="11">
        <v>0</v>
      </c>
      <c r="X235" s="11">
        <v>1</v>
      </c>
      <c r="Y235" s="11">
        <v>1</v>
      </c>
      <c r="Z235" s="11">
        <v>1</v>
      </c>
      <c r="AA235" s="11">
        <v>0</v>
      </c>
      <c r="AB235" s="11">
        <v>0</v>
      </c>
      <c r="AC235" s="11">
        <v>1</v>
      </c>
      <c r="AD235" s="11">
        <v>1</v>
      </c>
      <c r="AE235" s="11">
        <v>0</v>
      </c>
      <c r="AF235" s="11">
        <v>0</v>
      </c>
      <c r="AG235" s="11">
        <v>0</v>
      </c>
      <c r="AH235" s="11">
        <v>0</v>
      </c>
      <c r="AI235" s="11">
        <v>1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1</v>
      </c>
      <c r="AR235" s="11">
        <v>1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5">
        <f t="shared" si="37"/>
        <v>77.102311333889006</v>
      </c>
      <c r="BH235" s="3">
        <f t="shared" si="38"/>
        <v>19.69027437668278</v>
      </c>
      <c r="BI235" s="3">
        <f t="shared" si="39"/>
        <v>35.30972562331722</v>
      </c>
      <c r="BJ235" s="3">
        <f t="shared" si="31"/>
        <v>-0.58403361202296666</v>
      </c>
      <c r="BK235" s="3">
        <f t="shared" si="32"/>
        <v>-0.45609683602320777</v>
      </c>
      <c r="BL235" s="3">
        <f t="shared" si="33"/>
        <v>0.94333424358242735</v>
      </c>
      <c r="BM235" s="3">
        <f t="shared" si="34"/>
        <v>-0.1356218931626009</v>
      </c>
      <c r="BN235" s="3">
        <f t="shared" si="35"/>
        <v>48.64378106837399</v>
      </c>
      <c r="BO235" s="2" t="str">
        <f t="shared" si="36"/>
        <v>C</v>
      </c>
    </row>
    <row r="236" spans="1:67" x14ac:dyDescent="0.35">
      <c r="A236" s="1">
        <v>235</v>
      </c>
      <c r="B236" s="10" t="s">
        <v>235</v>
      </c>
      <c r="C236" s="11">
        <v>24</v>
      </c>
      <c r="D236" s="11">
        <v>0</v>
      </c>
      <c r="E236" s="11">
        <v>1</v>
      </c>
      <c r="F236" s="11">
        <v>1</v>
      </c>
      <c r="G236" s="11">
        <v>1</v>
      </c>
      <c r="H236" s="11">
        <v>1</v>
      </c>
      <c r="I236" s="11">
        <v>1</v>
      </c>
      <c r="J236" s="11">
        <v>1</v>
      </c>
      <c r="K236" s="11">
        <v>1</v>
      </c>
      <c r="L236" s="11">
        <v>1</v>
      </c>
      <c r="M236" s="11">
        <v>1</v>
      </c>
      <c r="N236" s="11">
        <v>0</v>
      </c>
      <c r="O236" s="11">
        <v>0</v>
      </c>
      <c r="P236" s="11">
        <v>1</v>
      </c>
      <c r="Q236" s="11">
        <v>1</v>
      </c>
      <c r="R236" s="11">
        <v>1</v>
      </c>
      <c r="S236" s="11">
        <v>0</v>
      </c>
      <c r="T236" s="11">
        <v>1</v>
      </c>
      <c r="U236" s="11">
        <v>1</v>
      </c>
      <c r="V236" s="11">
        <v>1</v>
      </c>
      <c r="W236" s="11">
        <v>0</v>
      </c>
      <c r="X236" s="11">
        <v>0</v>
      </c>
      <c r="Y236" s="11">
        <v>0</v>
      </c>
      <c r="Z236" s="11">
        <v>1</v>
      </c>
      <c r="AA236" s="11">
        <v>0</v>
      </c>
      <c r="AB236" s="11">
        <v>0</v>
      </c>
      <c r="AC236" s="11">
        <v>0</v>
      </c>
      <c r="AD236" s="11">
        <v>0</v>
      </c>
      <c r="AE236" s="11">
        <v>1</v>
      </c>
      <c r="AF236" s="11">
        <v>1</v>
      </c>
      <c r="AG236" s="11">
        <v>1</v>
      </c>
      <c r="AH236" s="11">
        <v>0</v>
      </c>
      <c r="AI236" s="11">
        <v>0</v>
      </c>
      <c r="AJ236" s="11">
        <v>0</v>
      </c>
      <c r="AK236" s="11">
        <v>0</v>
      </c>
      <c r="AL236" s="11">
        <v>1</v>
      </c>
      <c r="AM236" s="11">
        <v>1</v>
      </c>
      <c r="AN236" s="11">
        <v>0</v>
      </c>
      <c r="AO236" s="11">
        <v>0</v>
      </c>
      <c r="AP236" s="11">
        <v>0</v>
      </c>
      <c r="AQ236" s="11">
        <v>1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1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1</v>
      </c>
      <c r="BG236" s="5">
        <f t="shared" si="37"/>
        <v>76.967776346867623</v>
      </c>
      <c r="BH236" s="3">
        <f t="shared" si="38"/>
        <v>19.655917030425766</v>
      </c>
      <c r="BI236" s="3">
        <f t="shared" si="39"/>
        <v>35.344082969574231</v>
      </c>
      <c r="BJ236" s="3">
        <f t="shared" si="31"/>
        <v>-0.58675258003316888</v>
      </c>
      <c r="BK236" s="3">
        <f t="shared" si="32"/>
        <v>-0.45609683602320777</v>
      </c>
      <c r="BL236" s="3">
        <f t="shared" si="33"/>
        <v>0.94333424358242735</v>
      </c>
      <c r="BM236" s="3">
        <f t="shared" si="34"/>
        <v>-0.13850418862542285</v>
      </c>
      <c r="BN236" s="3">
        <f t="shared" si="35"/>
        <v>48.614958113745772</v>
      </c>
      <c r="BO236" s="2" t="str">
        <f t="shared" si="36"/>
        <v>C</v>
      </c>
    </row>
    <row r="237" spans="1:67" x14ac:dyDescent="0.35">
      <c r="A237" s="15">
        <v>236</v>
      </c>
      <c r="B237" s="10" t="s">
        <v>236</v>
      </c>
      <c r="C237" s="11">
        <v>25</v>
      </c>
      <c r="D237" s="11">
        <v>0</v>
      </c>
      <c r="E237" s="11">
        <v>1</v>
      </c>
      <c r="F237" s="11">
        <v>1</v>
      </c>
      <c r="G237" s="11">
        <v>1</v>
      </c>
      <c r="H237" s="11">
        <v>1</v>
      </c>
      <c r="I237" s="11">
        <v>1</v>
      </c>
      <c r="J237" s="11">
        <v>1</v>
      </c>
      <c r="K237" s="11">
        <v>1</v>
      </c>
      <c r="L237" s="11">
        <v>1</v>
      </c>
      <c r="M237" s="11">
        <v>1</v>
      </c>
      <c r="N237" s="11">
        <v>1</v>
      </c>
      <c r="O237" s="11">
        <v>1</v>
      </c>
      <c r="P237" s="11">
        <v>1</v>
      </c>
      <c r="Q237" s="11">
        <v>1</v>
      </c>
      <c r="R237" s="11">
        <v>0</v>
      </c>
      <c r="S237" s="11">
        <v>1</v>
      </c>
      <c r="T237" s="11">
        <v>0</v>
      </c>
      <c r="U237" s="11">
        <v>1</v>
      </c>
      <c r="V237" s="11">
        <v>1</v>
      </c>
      <c r="W237" s="11">
        <v>1</v>
      </c>
      <c r="X237" s="11">
        <v>0</v>
      </c>
      <c r="Y237" s="11">
        <v>1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1</v>
      </c>
      <c r="AF237" s="11">
        <v>0</v>
      </c>
      <c r="AG237" s="11">
        <v>1</v>
      </c>
      <c r="AH237" s="11">
        <v>1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1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1</v>
      </c>
      <c r="BB237" s="11">
        <v>1</v>
      </c>
      <c r="BC237" s="11">
        <v>1</v>
      </c>
      <c r="BD237" s="11">
        <v>0</v>
      </c>
      <c r="BE237" s="11">
        <v>0</v>
      </c>
      <c r="BF237" s="11">
        <v>0</v>
      </c>
      <c r="BG237" s="5">
        <f t="shared" si="37"/>
        <v>76.798977439807558</v>
      </c>
      <c r="BH237" s="3">
        <f t="shared" si="38"/>
        <v>19.61280941488226</v>
      </c>
      <c r="BI237" s="3">
        <f t="shared" si="39"/>
        <v>35.387190585117736</v>
      </c>
      <c r="BJ237" s="3">
        <f t="shared" si="31"/>
        <v>-0.5901670124321563</v>
      </c>
      <c r="BK237" s="3">
        <f t="shared" si="32"/>
        <v>-0.45609683602320777</v>
      </c>
      <c r="BL237" s="3">
        <f t="shared" si="33"/>
        <v>0.94333424358242735</v>
      </c>
      <c r="BM237" s="3">
        <f t="shared" si="34"/>
        <v>-0.14212372477839944</v>
      </c>
      <c r="BN237" s="3">
        <f t="shared" si="35"/>
        <v>48.578762752216008</v>
      </c>
      <c r="BO237" s="2" t="str">
        <f t="shared" si="36"/>
        <v>C</v>
      </c>
    </row>
    <row r="238" spans="1:67" x14ac:dyDescent="0.35">
      <c r="A238" s="15">
        <v>237</v>
      </c>
      <c r="B238" s="10" t="s">
        <v>237</v>
      </c>
      <c r="C238" s="11">
        <v>26</v>
      </c>
      <c r="D238" s="11">
        <v>1</v>
      </c>
      <c r="E238" s="11">
        <v>1</v>
      </c>
      <c r="F238" s="11">
        <v>1</v>
      </c>
      <c r="G238" s="11">
        <v>1</v>
      </c>
      <c r="H238" s="11">
        <v>1</v>
      </c>
      <c r="I238" s="11">
        <v>1</v>
      </c>
      <c r="J238" s="11">
        <v>1</v>
      </c>
      <c r="K238" s="11">
        <v>1</v>
      </c>
      <c r="L238" s="11">
        <v>1</v>
      </c>
      <c r="M238" s="11">
        <v>1</v>
      </c>
      <c r="N238" s="11">
        <v>1</v>
      </c>
      <c r="O238" s="11">
        <v>1</v>
      </c>
      <c r="P238" s="11">
        <v>0</v>
      </c>
      <c r="Q238" s="11">
        <v>1</v>
      </c>
      <c r="R238" s="11">
        <v>1</v>
      </c>
      <c r="S238" s="11">
        <v>1</v>
      </c>
      <c r="T238" s="11">
        <v>1</v>
      </c>
      <c r="U238" s="11">
        <v>1</v>
      </c>
      <c r="V238" s="11">
        <v>0</v>
      </c>
      <c r="W238" s="11">
        <v>0</v>
      </c>
      <c r="X238" s="11">
        <v>1</v>
      </c>
      <c r="Y238" s="11">
        <v>1</v>
      </c>
      <c r="Z238" s="11">
        <v>1</v>
      </c>
      <c r="AA238" s="11">
        <v>0</v>
      </c>
      <c r="AB238" s="11">
        <v>0</v>
      </c>
      <c r="AC238" s="11">
        <v>0</v>
      </c>
      <c r="AD238" s="11">
        <v>0</v>
      </c>
      <c r="AE238" s="11">
        <v>1</v>
      </c>
      <c r="AF238" s="11">
        <v>0</v>
      </c>
      <c r="AG238" s="11">
        <v>0</v>
      </c>
      <c r="AH238" s="11">
        <v>0</v>
      </c>
      <c r="AI238" s="11">
        <v>0</v>
      </c>
      <c r="AJ238" s="11">
        <v>1</v>
      </c>
      <c r="AK238" s="11">
        <v>1</v>
      </c>
      <c r="AL238" s="11">
        <v>1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1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1</v>
      </c>
      <c r="BD238" s="11">
        <v>0</v>
      </c>
      <c r="BE238" s="11">
        <v>0</v>
      </c>
      <c r="BF238" s="11">
        <v>0</v>
      </c>
      <c r="BG238" s="5">
        <f t="shared" si="37"/>
        <v>76.721811869723695</v>
      </c>
      <c r="BH238" s="3">
        <f t="shared" si="38"/>
        <v>19.593102985579453</v>
      </c>
      <c r="BI238" s="3">
        <f t="shared" si="39"/>
        <v>35.406897014420551</v>
      </c>
      <c r="BJ238" s="3">
        <f t="shared" si="31"/>
        <v>-0.59172901626014118</v>
      </c>
      <c r="BK238" s="3">
        <f t="shared" si="32"/>
        <v>-0.45609683602320777</v>
      </c>
      <c r="BL238" s="3">
        <f t="shared" si="33"/>
        <v>0.94333424358242735</v>
      </c>
      <c r="BM238" s="3">
        <f t="shared" si="34"/>
        <v>-0.14377955762726644</v>
      </c>
      <c r="BN238" s="3">
        <f t="shared" si="35"/>
        <v>48.562204423727337</v>
      </c>
      <c r="BO238" s="2" t="str">
        <f t="shared" si="36"/>
        <v>C</v>
      </c>
    </row>
    <row r="239" spans="1:67" x14ac:dyDescent="0.35">
      <c r="A239" s="1">
        <v>238</v>
      </c>
      <c r="B239" s="10" t="s">
        <v>238</v>
      </c>
      <c r="C239" s="11">
        <v>24</v>
      </c>
      <c r="D239" s="11">
        <v>1</v>
      </c>
      <c r="E239" s="11">
        <v>1</v>
      </c>
      <c r="F239" s="11">
        <v>1</v>
      </c>
      <c r="G239" s="11">
        <v>1</v>
      </c>
      <c r="H239" s="11">
        <v>1</v>
      </c>
      <c r="I239" s="11">
        <v>1</v>
      </c>
      <c r="J239" s="11">
        <v>0</v>
      </c>
      <c r="K239" s="11">
        <v>1</v>
      </c>
      <c r="L239" s="11">
        <v>1</v>
      </c>
      <c r="M239" s="11">
        <v>1</v>
      </c>
      <c r="N239" s="11">
        <v>0</v>
      </c>
      <c r="O239" s="11">
        <v>0</v>
      </c>
      <c r="P239" s="11">
        <v>0</v>
      </c>
      <c r="Q239" s="11">
        <v>1</v>
      </c>
      <c r="R239" s="11">
        <v>0</v>
      </c>
      <c r="S239" s="11">
        <v>0</v>
      </c>
      <c r="T239" s="11">
        <v>1</v>
      </c>
      <c r="U239" s="11">
        <v>1</v>
      </c>
      <c r="V239" s="11">
        <v>1</v>
      </c>
      <c r="W239" s="11">
        <v>1</v>
      </c>
      <c r="X239" s="11">
        <v>0</v>
      </c>
      <c r="Y239" s="11">
        <v>0</v>
      </c>
      <c r="Z239" s="11">
        <v>1</v>
      </c>
      <c r="AA239" s="11">
        <v>0</v>
      </c>
      <c r="AB239" s="11">
        <v>0</v>
      </c>
      <c r="AC239" s="11">
        <v>0</v>
      </c>
      <c r="AD239" s="11">
        <v>0</v>
      </c>
      <c r="AE239" s="11">
        <v>1</v>
      </c>
      <c r="AF239" s="11">
        <v>1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1</v>
      </c>
      <c r="AN239" s="11">
        <v>0</v>
      </c>
      <c r="AO239" s="11">
        <v>0</v>
      </c>
      <c r="AP239" s="11">
        <v>0</v>
      </c>
      <c r="AQ239" s="11">
        <v>1</v>
      </c>
      <c r="AR239" s="11">
        <v>1</v>
      </c>
      <c r="AS239" s="11">
        <v>0</v>
      </c>
      <c r="AT239" s="11">
        <v>1</v>
      </c>
      <c r="AU239" s="11">
        <v>0</v>
      </c>
      <c r="AV239" s="11">
        <v>0</v>
      </c>
      <c r="AW239" s="11">
        <v>1</v>
      </c>
      <c r="AX239" s="11">
        <v>0</v>
      </c>
      <c r="AY239" s="11">
        <v>0</v>
      </c>
      <c r="AZ239" s="11">
        <v>0</v>
      </c>
      <c r="BA239" s="11">
        <v>1</v>
      </c>
      <c r="BB239" s="11">
        <v>1</v>
      </c>
      <c r="BC239" s="11">
        <v>0</v>
      </c>
      <c r="BD239" s="11">
        <v>0</v>
      </c>
      <c r="BE239" s="11">
        <v>0</v>
      </c>
      <c r="BF239" s="11">
        <v>0</v>
      </c>
      <c r="BG239" s="5">
        <f t="shared" si="37"/>
        <v>76.410866811547208</v>
      </c>
      <c r="BH239" s="3">
        <f t="shared" si="38"/>
        <v>19.513694295935181</v>
      </c>
      <c r="BI239" s="3">
        <f t="shared" si="39"/>
        <v>35.486305704064819</v>
      </c>
      <c r="BJ239" s="3">
        <f t="shared" si="31"/>
        <v>-0.59803037656494662</v>
      </c>
      <c r="BK239" s="3">
        <f t="shared" si="32"/>
        <v>-0.45609683602320777</v>
      </c>
      <c r="BL239" s="3">
        <f t="shared" si="33"/>
        <v>0.94333424358242735</v>
      </c>
      <c r="BM239" s="3">
        <f t="shared" si="34"/>
        <v>-0.1504594384305703</v>
      </c>
      <c r="BN239" s="3">
        <f t="shared" si="35"/>
        <v>48.495405615694295</v>
      </c>
      <c r="BO239" s="2" t="str">
        <f t="shared" si="36"/>
        <v>C</v>
      </c>
    </row>
    <row r="240" spans="1:67" x14ac:dyDescent="0.35">
      <c r="A240" s="15">
        <v>239</v>
      </c>
      <c r="B240" s="10" t="s">
        <v>239</v>
      </c>
      <c r="C240" s="11">
        <v>25</v>
      </c>
      <c r="D240" s="11">
        <v>1</v>
      </c>
      <c r="E240" s="11">
        <v>1</v>
      </c>
      <c r="F240" s="11">
        <v>1</v>
      </c>
      <c r="G240" s="11">
        <v>1</v>
      </c>
      <c r="H240" s="11">
        <v>1</v>
      </c>
      <c r="I240" s="11">
        <v>1</v>
      </c>
      <c r="J240" s="11">
        <v>0</v>
      </c>
      <c r="K240" s="11">
        <v>1</v>
      </c>
      <c r="L240" s="11">
        <v>1</v>
      </c>
      <c r="M240" s="11">
        <v>1</v>
      </c>
      <c r="N240" s="11">
        <v>1</v>
      </c>
      <c r="O240" s="11">
        <v>1</v>
      </c>
      <c r="P240" s="11">
        <v>0</v>
      </c>
      <c r="Q240" s="11">
        <v>1</v>
      </c>
      <c r="R240" s="11">
        <v>0</v>
      </c>
      <c r="S240" s="11">
        <v>1</v>
      </c>
      <c r="T240" s="11">
        <v>1</v>
      </c>
      <c r="U240" s="11">
        <v>0</v>
      </c>
      <c r="V240" s="11">
        <v>1</v>
      </c>
      <c r="W240" s="11">
        <v>0</v>
      </c>
      <c r="X240" s="11">
        <v>0</v>
      </c>
      <c r="Y240" s="11">
        <v>0</v>
      </c>
      <c r="Z240" s="11">
        <v>1</v>
      </c>
      <c r="AA240" s="11">
        <v>1</v>
      </c>
      <c r="AB240" s="11">
        <v>0</v>
      </c>
      <c r="AC240" s="11">
        <v>1</v>
      </c>
      <c r="AD240" s="11">
        <v>0</v>
      </c>
      <c r="AE240" s="11">
        <v>0</v>
      </c>
      <c r="AF240" s="11">
        <v>1</v>
      </c>
      <c r="AG240" s="11">
        <v>0</v>
      </c>
      <c r="AH240" s="11">
        <v>0</v>
      </c>
      <c r="AI240" s="11">
        <v>0</v>
      </c>
      <c r="AJ240" s="11">
        <v>0</v>
      </c>
      <c r="AK240" s="11">
        <v>1</v>
      </c>
      <c r="AL240" s="11">
        <v>0</v>
      </c>
      <c r="AM240" s="11">
        <v>1</v>
      </c>
      <c r="AN240" s="11">
        <v>0</v>
      </c>
      <c r="AO240" s="11">
        <v>0</v>
      </c>
      <c r="AP240" s="11">
        <v>0</v>
      </c>
      <c r="AQ240" s="11">
        <v>0</v>
      </c>
      <c r="AR240" s="11">
        <v>1</v>
      </c>
      <c r="AS240" s="11">
        <v>0</v>
      </c>
      <c r="AT240" s="11">
        <v>1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1</v>
      </c>
      <c r="BB240" s="11">
        <v>0</v>
      </c>
      <c r="BC240" s="11">
        <v>1</v>
      </c>
      <c r="BD240" s="11">
        <v>0</v>
      </c>
      <c r="BE240" s="11">
        <v>0</v>
      </c>
      <c r="BF240" s="11">
        <v>0</v>
      </c>
      <c r="BG240" s="5">
        <f t="shared" si="37"/>
        <v>76.230884660385186</v>
      </c>
      <c r="BH240" s="3">
        <f t="shared" si="38"/>
        <v>19.467730720032261</v>
      </c>
      <c r="BI240" s="3">
        <f t="shared" si="39"/>
        <v>35.532269279967736</v>
      </c>
      <c r="BJ240" s="3">
        <f t="shared" si="31"/>
        <v>-0.60168301745071651</v>
      </c>
      <c r="BK240" s="3">
        <f t="shared" si="32"/>
        <v>-0.45609683602320777</v>
      </c>
      <c r="BL240" s="3">
        <f t="shared" si="33"/>
        <v>0.94333424358242735</v>
      </c>
      <c r="BM240" s="3">
        <f t="shared" si="34"/>
        <v>-0.15433149217039696</v>
      </c>
      <c r="BN240" s="3">
        <f t="shared" si="35"/>
        <v>48.456685078296033</v>
      </c>
      <c r="BO240" s="2" t="str">
        <f t="shared" si="36"/>
        <v>C</v>
      </c>
    </row>
    <row r="241" spans="1:67" x14ac:dyDescent="0.35">
      <c r="A241" s="15">
        <v>240</v>
      </c>
      <c r="B241" s="12">
        <v>2106000</v>
      </c>
      <c r="C241" s="11">
        <v>25</v>
      </c>
      <c r="D241" s="11">
        <v>1</v>
      </c>
      <c r="E241" s="11">
        <v>1</v>
      </c>
      <c r="F241" s="11">
        <v>1</v>
      </c>
      <c r="G241" s="11">
        <v>1</v>
      </c>
      <c r="H241" s="11">
        <v>1</v>
      </c>
      <c r="I241" s="11">
        <v>1</v>
      </c>
      <c r="J241" s="11">
        <v>1</v>
      </c>
      <c r="K241" s="11">
        <v>1</v>
      </c>
      <c r="L241" s="11">
        <v>0</v>
      </c>
      <c r="M241" s="11">
        <v>1</v>
      </c>
      <c r="N241" s="11">
        <v>1</v>
      </c>
      <c r="O241" s="11">
        <v>0</v>
      </c>
      <c r="P241" s="11">
        <v>0</v>
      </c>
      <c r="Q241" s="11">
        <v>1</v>
      </c>
      <c r="R241" s="11">
        <v>0</v>
      </c>
      <c r="S241" s="11">
        <v>0</v>
      </c>
      <c r="T241" s="11">
        <v>1</v>
      </c>
      <c r="U241" s="11">
        <v>1</v>
      </c>
      <c r="V241" s="11">
        <v>1</v>
      </c>
      <c r="W241" s="11">
        <v>1</v>
      </c>
      <c r="X241" s="11">
        <v>1</v>
      </c>
      <c r="Y241" s="11">
        <v>0</v>
      </c>
      <c r="Z241" s="11">
        <v>0</v>
      </c>
      <c r="AA241" s="11">
        <v>0</v>
      </c>
      <c r="AB241" s="11">
        <v>0</v>
      </c>
      <c r="AC241" s="11">
        <v>1</v>
      </c>
      <c r="AD241" s="11">
        <v>0</v>
      </c>
      <c r="AE241" s="11">
        <v>1</v>
      </c>
      <c r="AF241" s="11">
        <v>0</v>
      </c>
      <c r="AG241" s="11">
        <v>1</v>
      </c>
      <c r="AH241" s="11">
        <v>0</v>
      </c>
      <c r="AI241" s="11">
        <v>1</v>
      </c>
      <c r="AJ241" s="11">
        <v>1</v>
      </c>
      <c r="AK241" s="11">
        <v>1</v>
      </c>
      <c r="AL241" s="11">
        <v>1</v>
      </c>
      <c r="AM241" s="11">
        <v>1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1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5">
        <f t="shared" si="37"/>
        <v>75.833599166014167</v>
      </c>
      <c r="BH241" s="3">
        <f t="shared" si="38"/>
        <v>19.366272537330506</v>
      </c>
      <c r="BI241" s="3">
        <f t="shared" si="39"/>
        <v>35.633727462669498</v>
      </c>
      <c r="BJ241" s="3">
        <f t="shared" si="31"/>
        <v>-0.60975956592372915</v>
      </c>
      <c r="BK241" s="3">
        <f t="shared" si="32"/>
        <v>-0.45609683602320777</v>
      </c>
      <c r="BL241" s="3">
        <f t="shared" si="33"/>
        <v>0.94333424358242735</v>
      </c>
      <c r="BM241" s="3">
        <f t="shared" si="34"/>
        <v>-0.1628931960711702</v>
      </c>
      <c r="BN241" s="3">
        <f t="shared" si="35"/>
        <v>48.371068039288296</v>
      </c>
      <c r="BO241" s="2" t="str">
        <f t="shared" si="36"/>
        <v>C</v>
      </c>
    </row>
    <row r="242" spans="1:67" x14ac:dyDescent="0.35">
      <c r="A242" s="1">
        <v>241</v>
      </c>
      <c r="B242" s="10" t="s">
        <v>240</v>
      </c>
      <c r="C242" s="11">
        <v>24</v>
      </c>
      <c r="D242" s="11">
        <v>1</v>
      </c>
      <c r="E242" s="11">
        <v>0</v>
      </c>
      <c r="F242" s="11">
        <v>0</v>
      </c>
      <c r="G242" s="11">
        <v>1</v>
      </c>
      <c r="H242" s="11">
        <v>1</v>
      </c>
      <c r="I242" s="11">
        <v>0</v>
      </c>
      <c r="J242" s="11">
        <v>1</v>
      </c>
      <c r="K242" s="11">
        <v>1</v>
      </c>
      <c r="L242" s="11">
        <v>1</v>
      </c>
      <c r="M242" s="11">
        <v>1</v>
      </c>
      <c r="N242" s="11">
        <v>0</v>
      </c>
      <c r="O242" s="11">
        <v>1</v>
      </c>
      <c r="P242" s="11">
        <v>0</v>
      </c>
      <c r="Q242" s="11">
        <v>1</v>
      </c>
      <c r="R242" s="11">
        <v>0</v>
      </c>
      <c r="S242" s="11">
        <v>1</v>
      </c>
      <c r="T242" s="11">
        <v>1</v>
      </c>
      <c r="U242" s="11">
        <v>0</v>
      </c>
      <c r="V242" s="11">
        <v>1</v>
      </c>
      <c r="W242" s="11">
        <v>0</v>
      </c>
      <c r="X242" s="11">
        <v>1</v>
      </c>
      <c r="Y242" s="11">
        <v>0</v>
      </c>
      <c r="Z242" s="11">
        <v>1</v>
      </c>
      <c r="AA242" s="11">
        <v>0</v>
      </c>
      <c r="AB242" s="11">
        <v>0</v>
      </c>
      <c r="AC242" s="11">
        <v>1</v>
      </c>
      <c r="AD242" s="11">
        <v>1</v>
      </c>
      <c r="AE242" s="11">
        <v>1</v>
      </c>
      <c r="AF242" s="11">
        <v>1</v>
      </c>
      <c r="AG242" s="11">
        <v>0</v>
      </c>
      <c r="AH242" s="11">
        <v>1</v>
      </c>
      <c r="AI242" s="11">
        <v>1</v>
      </c>
      <c r="AJ242" s="11">
        <v>1</v>
      </c>
      <c r="AK242" s="11">
        <v>0</v>
      </c>
      <c r="AL242" s="11">
        <v>0</v>
      </c>
      <c r="AM242" s="11">
        <v>1</v>
      </c>
      <c r="AN242" s="11">
        <v>0</v>
      </c>
      <c r="AO242" s="11">
        <v>0</v>
      </c>
      <c r="AP242" s="11">
        <v>1</v>
      </c>
      <c r="AQ242" s="11">
        <v>0</v>
      </c>
      <c r="AR242" s="11">
        <v>1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5">
        <f t="shared" si="37"/>
        <v>75.638882934437476</v>
      </c>
      <c r="BH242" s="3">
        <f t="shared" si="38"/>
        <v>19.31654619373575</v>
      </c>
      <c r="BI242" s="3">
        <f t="shared" si="39"/>
        <v>35.683453806264254</v>
      </c>
      <c r="BJ242" s="3">
        <f t="shared" si="31"/>
        <v>-0.61372505816674994</v>
      </c>
      <c r="BK242" s="3">
        <f t="shared" si="32"/>
        <v>-0.45609683602320777</v>
      </c>
      <c r="BL242" s="3">
        <f t="shared" si="33"/>
        <v>0.94333424358242735</v>
      </c>
      <c r="BM242" s="3">
        <f t="shared" si="34"/>
        <v>-0.16709689403930644</v>
      </c>
      <c r="BN242" s="3">
        <f t="shared" si="35"/>
        <v>48.329031059606933</v>
      </c>
      <c r="BO242" s="2" t="str">
        <f t="shared" si="36"/>
        <v>C</v>
      </c>
    </row>
    <row r="243" spans="1:67" x14ac:dyDescent="0.35">
      <c r="A243" s="15">
        <v>242</v>
      </c>
      <c r="B243" s="10" t="s">
        <v>241</v>
      </c>
      <c r="C243" s="11">
        <v>25</v>
      </c>
      <c r="D243" s="11">
        <v>0</v>
      </c>
      <c r="E243" s="11">
        <v>1</v>
      </c>
      <c r="F243" s="11">
        <v>1</v>
      </c>
      <c r="G243" s="11">
        <v>1</v>
      </c>
      <c r="H243" s="11">
        <v>1</v>
      </c>
      <c r="I243" s="11">
        <v>1</v>
      </c>
      <c r="J243" s="11">
        <v>1</v>
      </c>
      <c r="K243" s="11">
        <v>1</v>
      </c>
      <c r="L243" s="11">
        <v>1</v>
      </c>
      <c r="M243" s="11">
        <v>0</v>
      </c>
      <c r="N243" s="11">
        <v>1</v>
      </c>
      <c r="O243" s="11">
        <v>1</v>
      </c>
      <c r="P243" s="11">
        <v>1</v>
      </c>
      <c r="Q243" s="11">
        <v>1</v>
      </c>
      <c r="R243" s="11">
        <v>0</v>
      </c>
      <c r="S243" s="11">
        <v>1</v>
      </c>
      <c r="T243" s="11">
        <v>1</v>
      </c>
      <c r="U243" s="11">
        <v>1</v>
      </c>
      <c r="V243" s="11">
        <v>0</v>
      </c>
      <c r="W243" s="11">
        <v>0</v>
      </c>
      <c r="X243" s="11">
        <v>0</v>
      </c>
      <c r="Y243" s="11">
        <v>1</v>
      </c>
      <c r="Z243" s="11">
        <v>1</v>
      </c>
      <c r="AA243" s="11">
        <v>0</v>
      </c>
      <c r="AB243" s="11">
        <v>0</v>
      </c>
      <c r="AC243" s="11">
        <v>1</v>
      </c>
      <c r="AD243" s="11">
        <v>0</v>
      </c>
      <c r="AE243" s="11">
        <v>0</v>
      </c>
      <c r="AF243" s="11">
        <v>0</v>
      </c>
      <c r="AG243" s="11">
        <v>1</v>
      </c>
      <c r="AH243" s="11">
        <v>1</v>
      </c>
      <c r="AI243" s="11">
        <v>1</v>
      </c>
      <c r="AJ243" s="11">
        <v>1</v>
      </c>
      <c r="AK243" s="11">
        <v>1</v>
      </c>
      <c r="AL243" s="11">
        <v>1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1</v>
      </c>
      <c r="BD243" s="11">
        <v>0</v>
      </c>
      <c r="BE243" s="11">
        <v>0</v>
      </c>
      <c r="BF243" s="11">
        <v>0</v>
      </c>
      <c r="BG243" s="5">
        <f t="shared" si="37"/>
        <v>75.612972379567893</v>
      </c>
      <c r="BH243" s="3">
        <f t="shared" si="38"/>
        <v>19.30992919450696</v>
      </c>
      <c r="BI243" s="3">
        <f t="shared" si="39"/>
        <v>35.690070805493036</v>
      </c>
      <c r="BJ243" s="3">
        <f t="shared" si="31"/>
        <v>-0.61425309174777021</v>
      </c>
      <c r="BK243" s="3">
        <f t="shared" si="32"/>
        <v>-0.45609683602320777</v>
      </c>
      <c r="BL243" s="3">
        <f t="shared" si="33"/>
        <v>0.94333424358242735</v>
      </c>
      <c r="BM243" s="3">
        <f t="shared" si="34"/>
        <v>-0.16765664641192785</v>
      </c>
      <c r="BN243" s="3">
        <f t="shared" si="35"/>
        <v>48.323433535880724</v>
      </c>
      <c r="BO243" s="2" t="str">
        <f t="shared" si="36"/>
        <v>C</v>
      </c>
    </row>
    <row r="244" spans="1:67" x14ac:dyDescent="0.35">
      <c r="A244" s="15">
        <v>243</v>
      </c>
      <c r="B244" s="10" t="s">
        <v>242</v>
      </c>
      <c r="C244" s="11">
        <v>24</v>
      </c>
      <c r="D244" s="11">
        <v>1</v>
      </c>
      <c r="E244" s="11">
        <v>1</v>
      </c>
      <c r="F244" s="11">
        <v>1</v>
      </c>
      <c r="G244" s="11">
        <v>1</v>
      </c>
      <c r="H244" s="11">
        <v>1</v>
      </c>
      <c r="I244" s="11">
        <v>0</v>
      </c>
      <c r="J244" s="11">
        <v>1</v>
      </c>
      <c r="K244" s="11">
        <v>0</v>
      </c>
      <c r="L244" s="11">
        <v>0</v>
      </c>
      <c r="M244" s="11">
        <v>1</v>
      </c>
      <c r="N244" s="11">
        <v>1</v>
      </c>
      <c r="O244" s="11">
        <v>1</v>
      </c>
      <c r="P244" s="11">
        <v>0</v>
      </c>
      <c r="Q244" s="11">
        <v>1</v>
      </c>
      <c r="R244" s="11">
        <v>1</v>
      </c>
      <c r="S244" s="11">
        <v>1</v>
      </c>
      <c r="T244" s="11">
        <v>1</v>
      </c>
      <c r="U244" s="11">
        <v>0</v>
      </c>
      <c r="V244" s="11">
        <v>1</v>
      </c>
      <c r="W244" s="11">
        <v>1</v>
      </c>
      <c r="X244" s="11">
        <v>0</v>
      </c>
      <c r="Y244" s="11">
        <v>1</v>
      </c>
      <c r="Z244" s="11">
        <v>1</v>
      </c>
      <c r="AA244" s="11">
        <v>0</v>
      </c>
      <c r="AB244" s="11">
        <v>0</v>
      </c>
      <c r="AC244" s="11">
        <v>0</v>
      </c>
      <c r="AD244" s="11">
        <v>1</v>
      </c>
      <c r="AE244" s="11">
        <v>0</v>
      </c>
      <c r="AF244" s="11">
        <v>1</v>
      </c>
      <c r="AG244" s="11">
        <v>0</v>
      </c>
      <c r="AH244" s="11">
        <v>0</v>
      </c>
      <c r="AI244" s="11">
        <v>1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1</v>
      </c>
      <c r="AP244" s="11">
        <v>0</v>
      </c>
      <c r="AQ244" s="11">
        <v>1</v>
      </c>
      <c r="AR244" s="11">
        <v>0</v>
      </c>
      <c r="AS244" s="11">
        <v>0</v>
      </c>
      <c r="AT244" s="11">
        <v>1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1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5">
        <f t="shared" si="37"/>
        <v>75.226161621780449</v>
      </c>
      <c r="BH244" s="3">
        <f t="shared" si="38"/>
        <v>19.21114603456115</v>
      </c>
      <c r="BI244" s="3">
        <f t="shared" si="39"/>
        <v>35.788853965438847</v>
      </c>
      <c r="BJ244" s="3">
        <f t="shared" si="31"/>
        <v>-0.62214586995318222</v>
      </c>
      <c r="BK244" s="3">
        <f t="shared" si="32"/>
        <v>-0.45609683602320777</v>
      </c>
      <c r="BL244" s="3">
        <f t="shared" si="33"/>
        <v>0.94333424358242735</v>
      </c>
      <c r="BM244" s="3">
        <f t="shared" si="34"/>
        <v>-0.17602354102972334</v>
      </c>
      <c r="BN244" s="3">
        <f t="shared" si="35"/>
        <v>48.239764589702766</v>
      </c>
      <c r="BO244" s="2" t="str">
        <f t="shared" si="36"/>
        <v>C</v>
      </c>
    </row>
    <row r="245" spans="1:67" x14ac:dyDescent="0.35">
      <c r="A245" s="1">
        <v>244</v>
      </c>
      <c r="B245" s="10" t="s">
        <v>243</v>
      </c>
      <c r="C245" s="11">
        <v>26</v>
      </c>
      <c r="D245" s="11">
        <v>1</v>
      </c>
      <c r="E245" s="11">
        <v>1</v>
      </c>
      <c r="F245" s="11">
        <v>1</v>
      </c>
      <c r="G245" s="11">
        <v>1</v>
      </c>
      <c r="H245" s="11">
        <v>1</v>
      </c>
      <c r="I245" s="11">
        <v>1</v>
      </c>
      <c r="J245" s="11">
        <v>1</v>
      </c>
      <c r="K245" s="11">
        <v>1</v>
      </c>
      <c r="L245" s="11">
        <v>1</v>
      </c>
      <c r="M245" s="11">
        <v>1</v>
      </c>
      <c r="N245" s="11">
        <v>1</v>
      </c>
      <c r="O245" s="11">
        <v>1</v>
      </c>
      <c r="P245" s="11">
        <v>1</v>
      </c>
      <c r="Q245" s="11">
        <v>1</v>
      </c>
      <c r="R245" s="11">
        <v>1</v>
      </c>
      <c r="S245" s="11">
        <v>1</v>
      </c>
      <c r="T245" s="11">
        <v>0</v>
      </c>
      <c r="U245" s="11">
        <v>1</v>
      </c>
      <c r="V245" s="11">
        <v>1</v>
      </c>
      <c r="W245" s="11">
        <v>1</v>
      </c>
      <c r="X245" s="11">
        <v>0</v>
      </c>
      <c r="Y245" s="11">
        <v>1</v>
      </c>
      <c r="Z245" s="11">
        <v>1</v>
      </c>
      <c r="AA245" s="11">
        <v>0</v>
      </c>
      <c r="AB245" s="11">
        <v>0</v>
      </c>
      <c r="AC245" s="11">
        <v>1</v>
      </c>
      <c r="AD245" s="11">
        <v>0</v>
      </c>
      <c r="AE245" s="11">
        <v>1</v>
      </c>
      <c r="AF245" s="11">
        <v>1</v>
      </c>
      <c r="AG245" s="11">
        <v>1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1</v>
      </c>
      <c r="BE245" s="11">
        <v>0</v>
      </c>
      <c r="BF245" s="11">
        <v>0</v>
      </c>
      <c r="BG245" s="5">
        <f t="shared" si="37"/>
        <v>75.003936610864699</v>
      </c>
      <c r="BH245" s="3">
        <f t="shared" si="38"/>
        <v>19.15439453953341</v>
      </c>
      <c r="BI245" s="3">
        <f t="shared" si="39"/>
        <v>35.845605460466587</v>
      </c>
      <c r="BJ245" s="3">
        <f t="shared" si="31"/>
        <v>-0.62668880906255175</v>
      </c>
      <c r="BK245" s="3">
        <f t="shared" si="32"/>
        <v>-0.45609683602320777</v>
      </c>
      <c r="BL245" s="3">
        <f t="shared" si="33"/>
        <v>0.94333424358242735</v>
      </c>
      <c r="BM245" s="3">
        <f t="shared" si="34"/>
        <v>-0.18083937289448973</v>
      </c>
      <c r="BN245" s="3">
        <f t="shared" si="35"/>
        <v>48.1916062710551</v>
      </c>
      <c r="BO245" s="2" t="str">
        <f t="shared" si="36"/>
        <v>C</v>
      </c>
    </row>
    <row r="246" spans="1:67" x14ac:dyDescent="0.35">
      <c r="A246" s="15">
        <v>245</v>
      </c>
      <c r="B246" s="10" t="s">
        <v>244</v>
      </c>
      <c r="C246" s="11">
        <v>24</v>
      </c>
      <c r="D246" s="11">
        <v>1</v>
      </c>
      <c r="E246" s="11">
        <v>1</v>
      </c>
      <c r="F246" s="11">
        <v>1</v>
      </c>
      <c r="G246" s="11">
        <v>0</v>
      </c>
      <c r="H246" s="11">
        <v>1</v>
      </c>
      <c r="I246" s="11">
        <v>1</v>
      </c>
      <c r="J246" s="11">
        <v>1</v>
      </c>
      <c r="K246" s="11">
        <v>1</v>
      </c>
      <c r="L246" s="11">
        <v>0</v>
      </c>
      <c r="M246" s="11">
        <v>1</v>
      </c>
      <c r="N246" s="11">
        <v>1</v>
      </c>
      <c r="O246" s="11">
        <v>1</v>
      </c>
      <c r="P246" s="11">
        <v>0</v>
      </c>
      <c r="Q246" s="11">
        <v>1</v>
      </c>
      <c r="R246" s="11">
        <v>1</v>
      </c>
      <c r="S246" s="11">
        <v>1</v>
      </c>
      <c r="T246" s="11">
        <v>1</v>
      </c>
      <c r="U246" s="11">
        <v>1</v>
      </c>
      <c r="V246" s="11">
        <v>0</v>
      </c>
      <c r="W246" s="11">
        <v>0</v>
      </c>
      <c r="X246" s="11">
        <v>0</v>
      </c>
      <c r="Y246" s="11">
        <v>0</v>
      </c>
      <c r="Z246" s="11">
        <v>1</v>
      </c>
      <c r="AA246" s="11">
        <v>0</v>
      </c>
      <c r="AB246" s="11">
        <v>0</v>
      </c>
      <c r="AC246" s="11">
        <v>1</v>
      </c>
      <c r="AD246" s="11">
        <v>0</v>
      </c>
      <c r="AE246" s="11">
        <v>0</v>
      </c>
      <c r="AF246" s="11">
        <v>0</v>
      </c>
      <c r="AG246" s="11">
        <v>0</v>
      </c>
      <c r="AH246" s="11">
        <v>1</v>
      </c>
      <c r="AI246" s="11">
        <v>1</v>
      </c>
      <c r="AJ246" s="11">
        <v>0</v>
      </c>
      <c r="AK246" s="11">
        <v>1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1</v>
      </c>
      <c r="AT246" s="11">
        <v>1</v>
      </c>
      <c r="AU246" s="11">
        <v>0</v>
      </c>
      <c r="AV246" s="11">
        <v>0</v>
      </c>
      <c r="AW246" s="11">
        <v>1</v>
      </c>
      <c r="AX246" s="11">
        <v>0</v>
      </c>
      <c r="AY246" s="11">
        <v>0</v>
      </c>
      <c r="AZ246" s="11">
        <v>0</v>
      </c>
      <c r="BA246" s="11">
        <v>1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5">
        <f t="shared" si="37"/>
        <v>74.75574737487581</v>
      </c>
      <c r="BH246" s="3">
        <f t="shared" si="38"/>
        <v>19.091012339059578</v>
      </c>
      <c r="BI246" s="3">
        <f t="shared" si="39"/>
        <v>35.908987660940426</v>
      </c>
      <c r="BJ246" s="3">
        <f t="shared" si="31"/>
        <v>-0.63176995069273978</v>
      </c>
      <c r="BK246" s="3">
        <f t="shared" si="32"/>
        <v>-0.45609683602320777</v>
      </c>
      <c r="BL246" s="3">
        <f t="shared" si="33"/>
        <v>0.94333424358242735</v>
      </c>
      <c r="BM246" s="3">
        <f t="shared" si="34"/>
        <v>-0.18622573691631486</v>
      </c>
      <c r="BN246" s="3">
        <f t="shared" si="35"/>
        <v>48.137742630836854</v>
      </c>
      <c r="BO246" s="2" t="str">
        <f t="shared" si="36"/>
        <v>C</v>
      </c>
    </row>
    <row r="247" spans="1:67" x14ac:dyDescent="0.35">
      <c r="A247" s="15">
        <v>246</v>
      </c>
      <c r="B247" s="12">
        <v>1115423</v>
      </c>
      <c r="C247" s="11">
        <v>25</v>
      </c>
      <c r="D247" s="11">
        <v>0</v>
      </c>
      <c r="E247" s="11">
        <v>1</v>
      </c>
      <c r="F247" s="11">
        <v>1</v>
      </c>
      <c r="G247" s="11">
        <v>1</v>
      </c>
      <c r="H247" s="11">
        <v>1</v>
      </c>
      <c r="I247" s="11">
        <v>1</v>
      </c>
      <c r="J247" s="11">
        <v>1</v>
      </c>
      <c r="K247" s="11">
        <v>1</v>
      </c>
      <c r="L247" s="11">
        <v>1</v>
      </c>
      <c r="M247" s="11">
        <v>1</v>
      </c>
      <c r="N247" s="11">
        <v>0</v>
      </c>
      <c r="O247" s="11">
        <v>1</v>
      </c>
      <c r="P247" s="11">
        <v>0</v>
      </c>
      <c r="Q247" s="11">
        <v>1</v>
      </c>
      <c r="R247" s="11">
        <v>0</v>
      </c>
      <c r="S247" s="11">
        <v>1</v>
      </c>
      <c r="T247" s="11">
        <v>1</v>
      </c>
      <c r="U247" s="11">
        <v>1</v>
      </c>
      <c r="V247" s="11">
        <v>1</v>
      </c>
      <c r="W247" s="11">
        <v>1</v>
      </c>
      <c r="X247" s="11">
        <v>1</v>
      </c>
      <c r="Y247" s="11">
        <v>0</v>
      </c>
      <c r="Z247" s="11">
        <v>1</v>
      </c>
      <c r="AA247" s="11">
        <v>0</v>
      </c>
      <c r="AB247" s="11">
        <v>1</v>
      </c>
      <c r="AC247" s="11">
        <v>0</v>
      </c>
      <c r="AD247" s="11">
        <v>0</v>
      </c>
      <c r="AE247" s="11">
        <v>1</v>
      </c>
      <c r="AF247" s="11">
        <v>1</v>
      </c>
      <c r="AG247" s="11">
        <v>1</v>
      </c>
      <c r="AH247" s="11">
        <v>0</v>
      </c>
      <c r="AI247" s="11">
        <v>0</v>
      </c>
      <c r="AJ247" s="11">
        <v>1</v>
      </c>
      <c r="AK247" s="11">
        <v>1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1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5">
        <f t="shared" si="37"/>
        <v>74.59576366954893</v>
      </c>
      <c r="BH247" s="3">
        <f t="shared" si="38"/>
        <v>19.050155936713306</v>
      </c>
      <c r="BI247" s="3">
        <f t="shared" si="39"/>
        <v>35.94984406328669</v>
      </c>
      <c r="BJ247" s="3">
        <f t="shared" si="31"/>
        <v>-0.63504945936438495</v>
      </c>
      <c r="BK247" s="3">
        <f t="shared" si="32"/>
        <v>-0.45609683602320777</v>
      </c>
      <c r="BL247" s="3">
        <f t="shared" si="33"/>
        <v>0.94333424358242735</v>
      </c>
      <c r="BM247" s="3">
        <f t="shared" si="34"/>
        <v>-0.18970224452107523</v>
      </c>
      <c r="BN247" s="3">
        <f t="shared" si="35"/>
        <v>48.102977554789248</v>
      </c>
      <c r="BO247" s="2" t="str">
        <f t="shared" si="36"/>
        <v>C</v>
      </c>
    </row>
    <row r="248" spans="1:67" x14ac:dyDescent="0.35">
      <c r="A248" s="1">
        <v>247</v>
      </c>
      <c r="B248" s="10" t="s">
        <v>245</v>
      </c>
      <c r="C248" s="11">
        <v>25</v>
      </c>
      <c r="D248" s="11">
        <v>1</v>
      </c>
      <c r="E248" s="11">
        <v>1</v>
      </c>
      <c r="F248" s="11">
        <v>1</v>
      </c>
      <c r="G248" s="11">
        <v>1</v>
      </c>
      <c r="H248" s="11">
        <v>1</v>
      </c>
      <c r="I248" s="11">
        <v>1</v>
      </c>
      <c r="J248" s="11">
        <v>1</v>
      </c>
      <c r="K248" s="11">
        <v>1</v>
      </c>
      <c r="L248" s="11">
        <v>1</v>
      </c>
      <c r="M248" s="11">
        <v>1</v>
      </c>
      <c r="N248" s="11">
        <v>1</v>
      </c>
      <c r="O248" s="11">
        <v>1</v>
      </c>
      <c r="P248" s="11">
        <v>0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1</v>
      </c>
      <c r="W248" s="11">
        <v>0</v>
      </c>
      <c r="X248" s="11">
        <v>1</v>
      </c>
      <c r="Y248" s="11">
        <v>0</v>
      </c>
      <c r="Z248" s="11">
        <v>0</v>
      </c>
      <c r="AA248" s="11">
        <v>0</v>
      </c>
      <c r="AB248" s="11">
        <v>0</v>
      </c>
      <c r="AC248" s="11">
        <v>1</v>
      </c>
      <c r="AD248" s="11">
        <v>0</v>
      </c>
      <c r="AE248" s="11">
        <v>0</v>
      </c>
      <c r="AF248" s="11">
        <v>1</v>
      </c>
      <c r="AG248" s="11">
        <v>1</v>
      </c>
      <c r="AH248" s="11">
        <v>1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1</v>
      </c>
      <c r="AX248" s="11">
        <v>1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5">
        <f t="shared" si="37"/>
        <v>74.531873400886539</v>
      </c>
      <c r="BH248" s="3">
        <f t="shared" si="38"/>
        <v>19.033839734277887</v>
      </c>
      <c r="BI248" s="3">
        <f t="shared" si="39"/>
        <v>35.96616026572211</v>
      </c>
      <c r="BJ248" s="3">
        <f t="shared" si="31"/>
        <v>-0.63636007012315432</v>
      </c>
      <c r="BK248" s="3">
        <f t="shared" si="32"/>
        <v>-0.45609683602320777</v>
      </c>
      <c r="BL248" s="3">
        <f t="shared" si="33"/>
        <v>0.94333424358242735</v>
      </c>
      <c r="BM248" s="3">
        <f t="shared" si="34"/>
        <v>-0.19109158320742692</v>
      </c>
      <c r="BN248" s="3">
        <f t="shared" si="35"/>
        <v>48.089084167925733</v>
      </c>
      <c r="BO248" s="2" t="str">
        <f t="shared" si="36"/>
        <v>C</v>
      </c>
    </row>
    <row r="249" spans="1:67" x14ac:dyDescent="0.35">
      <c r="A249" s="15">
        <v>248</v>
      </c>
      <c r="B249" s="10" t="s">
        <v>246</v>
      </c>
      <c r="C249" s="11">
        <v>25</v>
      </c>
      <c r="D249" s="11">
        <v>1</v>
      </c>
      <c r="E249" s="11">
        <v>1</v>
      </c>
      <c r="F249" s="11">
        <v>1</v>
      </c>
      <c r="G249" s="11">
        <v>1</v>
      </c>
      <c r="H249" s="11">
        <v>1</v>
      </c>
      <c r="I249" s="11">
        <v>1</v>
      </c>
      <c r="J249" s="11">
        <v>1</v>
      </c>
      <c r="K249" s="11">
        <v>1</v>
      </c>
      <c r="L249" s="11">
        <v>1</v>
      </c>
      <c r="M249" s="11">
        <v>1</v>
      </c>
      <c r="N249" s="11">
        <v>1</v>
      </c>
      <c r="O249" s="11">
        <v>1</v>
      </c>
      <c r="P249" s="11">
        <v>1</v>
      </c>
      <c r="Q249" s="11">
        <v>1</v>
      </c>
      <c r="R249" s="11">
        <v>1</v>
      </c>
      <c r="S249" s="11">
        <v>1</v>
      </c>
      <c r="T249" s="11">
        <v>1</v>
      </c>
      <c r="U249" s="11">
        <v>0</v>
      </c>
      <c r="V249" s="11">
        <v>0</v>
      </c>
      <c r="W249" s="11">
        <v>0</v>
      </c>
      <c r="X249" s="11">
        <v>0</v>
      </c>
      <c r="Y249" s="11">
        <v>1</v>
      </c>
      <c r="Z249" s="11">
        <v>0</v>
      </c>
      <c r="AA249" s="11">
        <v>0</v>
      </c>
      <c r="AB249" s="11">
        <v>0</v>
      </c>
      <c r="AC249" s="11">
        <v>1</v>
      </c>
      <c r="AD249" s="11">
        <v>0</v>
      </c>
      <c r="AE249" s="11">
        <v>0</v>
      </c>
      <c r="AF249" s="11">
        <v>0</v>
      </c>
      <c r="AG249" s="11">
        <v>1</v>
      </c>
      <c r="AH249" s="11">
        <v>0</v>
      </c>
      <c r="AI249" s="11">
        <v>0</v>
      </c>
      <c r="AJ249" s="11">
        <v>1</v>
      </c>
      <c r="AK249" s="11">
        <v>0</v>
      </c>
      <c r="AL249" s="11">
        <v>0</v>
      </c>
      <c r="AM249" s="11">
        <v>1</v>
      </c>
      <c r="AN249" s="11">
        <v>1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1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1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5">
        <f t="shared" si="37"/>
        <v>74.510900284727143</v>
      </c>
      <c r="BH249" s="3">
        <f t="shared" si="38"/>
        <v>19.028483650853566</v>
      </c>
      <c r="BI249" s="3">
        <f t="shared" si="39"/>
        <v>35.971516349146434</v>
      </c>
      <c r="BJ249" s="3">
        <f t="shared" si="31"/>
        <v>-0.63679041666136393</v>
      </c>
      <c r="BK249" s="3">
        <f t="shared" si="32"/>
        <v>-0.45609683602320777</v>
      </c>
      <c r="BL249" s="3">
        <f t="shared" si="33"/>
        <v>0.94333424358242735</v>
      </c>
      <c r="BM249" s="3">
        <f t="shared" si="34"/>
        <v>-0.19154778051091431</v>
      </c>
      <c r="BN249" s="3">
        <f t="shared" si="35"/>
        <v>48.084522194890859</v>
      </c>
      <c r="BO249" s="2" t="str">
        <f t="shared" si="36"/>
        <v>C</v>
      </c>
    </row>
    <row r="250" spans="1:67" x14ac:dyDescent="0.35">
      <c r="A250" s="15">
        <v>249</v>
      </c>
      <c r="B250" s="12">
        <v>1310002</v>
      </c>
      <c r="C250" s="11">
        <v>25</v>
      </c>
      <c r="D250" s="11">
        <v>0</v>
      </c>
      <c r="E250" s="11">
        <v>1</v>
      </c>
      <c r="F250" s="11">
        <v>1</v>
      </c>
      <c r="G250" s="11">
        <v>1</v>
      </c>
      <c r="H250" s="11">
        <v>1</v>
      </c>
      <c r="I250" s="11">
        <v>1</v>
      </c>
      <c r="J250" s="11">
        <v>1</v>
      </c>
      <c r="K250" s="11">
        <v>1</v>
      </c>
      <c r="L250" s="11">
        <v>0</v>
      </c>
      <c r="M250" s="11">
        <v>1</v>
      </c>
      <c r="N250" s="11">
        <v>1</v>
      </c>
      <c r="O250" s="11">
        <v>1</v>
      </c>
      <c r="P250" s="11">
        <v>0</v>
      </c>
      <c r="Q250" s="11">
        <v>1</v>
      </c>
      <c r="R250" s="11">
        <v>0</v>
      </c>
      <c r="S250" s="11">
        <v>1</v>
      </c>
      <c r="T250" s="11">
        <v>1</v>
      </c>
      <c r="U250" s="11">
        <v>1</v>
      </c>
      <c r="V250" s="11">
        <v>1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1</v>
      </c>
      <c r="AD250" s="11">
        <v>0</v>
      </c>
      <c r="AE250" s="11">
        <v>1</v>
      </c>
      <c r="AF250" s="11">
        <v>1</v>
      </c>
      <c r="AG250" s="11">
        <v>1</v>
      </c>
      <c r="AH250" s="11">
        <v>1</v>
      </c>
      <c r="AI250" s="11">
        <v>1</v>
      </c>
      <c r="AJ250" s="11">
        <v>1</v>
      </c>
      <c r="AK250" s="11">
        <v>0</v>
      </c>
      <c r="AL250" s="11">
        <v>1</v>
      </c>
      <c r="AM250" s="11">
        <v>1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1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5">
        <f t="shared" si="37"/>
        <v>74.48673340853378</v>
      </c>
      <c r="BH250" s="3">
        <f t="shared" si="38"/>
        <v>19.022311949709433</v>
      </c>
      <c r="BI250" s="3">
        <f t="shared" si="39"/>
        <v>35.977688050290567</v>
      </c>
      <c r="BJ250" s="3">
        <f t="shared" si="31"/>
        <v>-0.63728636659183169</v>
      </c>
      <c r="BK250" s="3">
        <f t="shared" si="32"/>
        <v>-0.45609683602320777</v>
      </c>
      <c r="BL250" s="3">
        <f t="shared" si="33"/>
        <v>0.94333424358242735</v>
      </c>
      <c r="BM250" s="3">
        <f t="shared" si="34"/>
        <v>-0.1920735219793723</v>
      </c>
      <c r="BN250" s="3">
        <f t="shared" si="35"/>
        <v>48.07926478020628</v>
      </c>
      <c r="BO250" s="2" t="str">
        <f t="shared" si="36"/>
        <v>C</v>
      </c>
    </row>
    <row r="251" spans="1:67" x14ac:dyDescent="0.35">
      <c r="A251" s="1">
        <v>250</v>
      </c>
      <c r="B251" s="10" t="s">
        <v>247</v>
      </c>
      <c r="C251" s="11">
        <v>24</v>
      </c>
      <c r="D251" s="11">
        <v>0</v>
      </c>
      <c r="E251" s="11">
        <v>1</v>
      </c>
      <c r="F251" s="11">
        <v>1</v>
      </c>
      <c r="G251" s="11">
        <v>1</v>
      </c>
      <c r="H251" s="11">
        <v>1</v>
      </c>
      <c r="I251" s="11">
        <v>1</v>
      </c>
      <c r="J251" s="11">
        <v>1</v>
      </c>
      <c r="K251" s="11">
        <v>1</v>
      </c>
      <c r="L251" s="11">
        <v>1</v>
      </c>
      <c r="M251" s="11">
        <v>1</v>
      </c>
      <c r="N251" s="11">
        <v>1</v>
      </c>
      <c r="O251" s="11">
        <v>1</v>
      </c>
      <c r="P251" s="11">
        <v>0</v>
      </c>
      <c r="Q251" s="11">
        <v>1</v>
      </c>
      <c r="R251" s="11">
        <v>1</v>
      </c>
      <c r="S251" s="11">
        <v>1</v>
      </c>
      <c r="T251" s="11">
        <v>0</v>
      </c>
      <c r="U251" s="11">
        <v>1</v>
      </c>
      <c r="V251" s="11">
        <v>1</v>
      </c>
      <c r="W251" s="11">
        <v>1</v>
      </c>
      <c r="X251" s="11">
        <v>0</v>
      </c>
      <c r="Y251" s="11">
        <v>0</v>
      </c>
      <c r="Z251" s="11">
        <v>1</v>
      </c>
      <c r="AA251" s="11">
        <v>1</v>
      </c>
      <c r="AB251" s="11">
        <v>1</v>
      </c>
      <c r="AC251" s="11">
        <v>1</v>
      </c>
      <c r="AD251" s="11">
        <v>0</v>
      </c>
      <c r="AE251" s="11">
        <v>1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1</v>
      </c>
      <c r="BC251" s="11">
        <v>0</v>
      </c>
      <c r="BD251" s="11">
        <v>0</v>
      </c>
      <c r="BE251" s="11">
        <v>1</v>
      </c>
      <c r="BF251" s="11">
        <v>0</v>
      </c>
      <c r="BG251" s="5">
        <f t="shared" si="37"/>
        <v>74.18373709330568</v>
      </c>
      <c r="BH251" s="3">
        <f t="shared" si="38"/>
        <v>18.944933198297829</v>
      </c>
      <c r="BI251" s="3">
        <f t="shared" si="39"/>
        <v>36.055066801702168</v>
      </c>
      <c r="BJ251" s="3">
        <f t="shared" si="31"/>
        <v>-0.64351088476102591</v>
      </c>
      <c r="BK251" s="3">
        <f t="shared" si="32"/>
        <v>-0.45609683602320777</v>
      </c>
      <c r="BL251" s="3">
        <f t="shared" si="33"/>
        <v>0.94333424358242735</v>
      </c>
      <c r="BM251" s="3">
        <f t="shared" si="34"/>
        <v>-0.19867194476698982</v>
      </c>
      <c r="BN251" s="3">
        <f t="shared" si="35"/>
        <v>48.013280552330102</v>
      </c>
      <c r="BO251" s="2" t="str">
        <f t="shared" si="36"/>
        <v>C</v>
      </c>
    </row>
    <row r="252" spans="1:67" x14ac:dyDescent="0.35">
      <c r="A252" s="15">
        <v>251</v>
      </c>
      <c r="B252" s="10" t="s">
        <v>248</v>
      </c>
      <c r="C252" s="11">
        <v>23</v>
      </c>
      <c r="D252" s="11">
        <v>0</v>
      </c>
      <c r="E252" s="11">
        <v>0</v>
      </c>
      <c r="F252" s="11">
        <v>1</v>
      </c>
      <c r="G252" s="11">
        <v>0</v>
      </c>
      <c r="H252" s="11">
        <v>1</v>
      </c>
      <c r="I252" s="11">
        <v>1</v>
      </c>
      <c r="J252" s="11">
        <v>1</v>
      </c>
      <c r="K252" s="11">
        <v>1</v>
      </c>
      <c r="L252" s="11">
        <v>1</v>
      </c>
      <c r="M252" s="11">
        <v>1</v>
      </c>
      <c r="N252" s="11">
        <v>1</v>
      </c>
      <c r="O252" s="11">
        <v>0</v>
      </c>
      <c r="P252" s="11">
        <v>1</v>
      </c>
      <c r="Q252" s="11">
        <v>1</v>
      </c>
      <c r="R252" s="11">
        <v>0</v>
      </c>
      <c r="S252" s="11">
        <v>1</v>
      </c>
      <c r="T252" s="11">
        <v>1</v>
      </c>
      <c r="U252" s="11">
        <v>0</v>
      </c>
      <c r="V252" s="11">
        <v>1</v>
      </c>
      <c r="W252" s="11">
        <v>1</v>
      </c>
      <c r="X252" s="11">
        <v>0</v>
      </c>
      <c r="Y252" s="11">
        <v>1</v>
      </c>
      <c r="Z252" s="11">
        <v>0</v>
      </c>
      <c r="AA252" s="11">
        <v>1</v>
      </c>
      <c r="AB252" s="11">
        <v>0</v>
      </c>
      <c r="AC252" s="11">
        <v>1</v>
      </c>
      <c r="AD252" s="11">
        <v>0</v>
      </c>
      <c r="AE252" s="11">
        <v>0</v>
      </c>
      <c r="AF252" s="11">
        <v>1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1</v>
      </c>
      <c r="AM252" s="11">
        <v>1</v>
      </c>
      <c r="AN252" s="11">
        <v>1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1</v>
      </c>
      <c r="AU252" s="11">
        <v>0</v>
      </c>
      <c r="AV252" s="11">
        <v>0</v>
      </c>
      <c r="AW252" s="11">
        <v>0</v>
      </c>
      <c r="AX252" s="11">
        <v>0</v>
      </c>
      <c r="AY252" s="11">
        <v>1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5">
        <f t="shared" si="37"/>
        <v>74.137319290068675</v>
      </c>
      <c r="BH252" s="3">
        <f t="shared" si="38"/>
        <v>18.933079088273271</v>
      </c>
      <c r="BI252" s="3">
        <f t="shared" si="39"/>
        <v>36.066920911726726</v>
      </c>
      <c r="BJ252" s="3">
        <f t="shared" si="31"/>
        <v>-0.64446551849536693</v>
      </c>
      <c r="BK252" s="3">
        <f t="shared" si="32"/>
        <v>-0.45609683602320777</v>
      </c>
      <c r="BL252" s="3">
        <f t="shared" si="33"/>
        <v>0.94333424358242735</v>
      </c>
      <c r="BM252" s="3">
        <f t="shared" si="34"/>
        <v>-0.19968392301418636</v>
      </c>
      <c r="BN252" s="3">
        <f t="shared" si="35"/>
        <v>48.003160769858134</v>
      </c>
      <c r="BO252" s="2" t="str">
        <f t="shared" si="36"/>
        <v>C</v>
      </c>
    </row>
    <row r="253" spans="1:67" x14ac:dyDescent="0.35">
      <c r="A253" s="15">
        <v>252</v>
      </c>
      <c r="B253" s="10" t="s">
        <v>249</v>
      </c>
      <c r="C253" s="11">
        <v>24</v>
      </c>
      <c r="D253" s="11">
        <v>1</v>
      </c>
      <c r="E253" s="11">
        <v>1</v>
      </c>
      <c r="F253" s="11">
        <v>0</v>
      </c>
      <c r="G253" s="11">
        <v>1</v>
      </c>
      <c r="H253" s="11">
        <v>1</v>
      </c>
      <c r="I253" s="11">
        <v>0</v>
      </c>
      <c r="J253" s="11">
        <v>1</v>
      </c>
      <c r="K253" s="11">
        <v>1</v>
      </c>
      <c r="L253" s="11">
        <v>0</v>
      </c>
      <c r="M253" s="11">
        <v>1</v>
      </c>
      <c r="N253" s="11">
        <v>1</v>
      </c>
      <c r="O253" s="11">
        <v>1</v>
      </c>
      <c r="P253" s="11">
        <v>1</v>
      </c>
      <c r="Q253" s="11">
        <v>1</v>
      </c>
      <c r="R253" s="11">
        <v>0</v>
      </c>
      <c r="S253" s="11">
        <v>1</v>
      </c>
      <c r="T253" s="11">
        <v>1</v>
      </c>
      <c r="U253" s="11">
        <v>1</v>
      </c>
      <c r="V253" s="11">
        <v>1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1</v>
      </c>
      <c r="AD253" s="11">
        <v>0</v>
      </c>
      <c r="AE253" s="11">
        <v>1</v>
      </c>
      <c r="AF253" s="11">
        <v>0</v>
      </c>
      <c r="AG253" s="11">
        <v>1</v>
      </c>
      <c r="AH253" s="11">
        <v>0</v>
      </c>
      <c r="AI253" s="11">
        <v>0</v>
      </c>
      <c r="AJ253" s="11">
        <v>1</v>
      </c>
      <c r="AK253" s="11">
        <v>1</v>
      </c>
      <c r="AL253" s="11">
        <v>0</v>
      </c>
      <c r="AM253" s="11">
        <v>0</v>
      </c>
      <c r="AN253" s="11">
        <v>1</v>
      </c>
      <c r="AO253" s="11">
        <v>0</v>
      </c>
      <c r="AP253" s="11">
        <v>0</v>
      </c>
      <c r="AQ253" s="11">
        <v>0</v>
      </c>
      <c r="AR253" s="11">
        <v>1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1</v>
      </c>
      <c r="BB253" s="11">
        <v>1</v>
      </c>
      <c r="BC253" s="11">
        <v>0</v>
      </c>
      <c r="BD253" s="11">
        <v>0</v>
      </c>
      <c r="BE253" s="11">
        <v>0</v>
      </c>
      <c r="BF253" s="11">
        <v>0</v>
      </c>
      <c r="BG253" s="5">
        <f t="shared" si="37"/>
        <v>74.061407439956824</v>
      </c>
      <c r="BH253" s="3">
        <f t="shared" si="38"/>
        <v>18.91369283212498</v>
      </c>
      <c r="BI253" s="3">
        <f t="shared" si="39"/>
        <v>36.08630716787502</v>
      </c>
      <c r="BJ253" s="3">
        <f t="shared" si="31"/>
        <v>-0.64602734233364179</v>
      </c>
      <c r="BK253" s="3">
        <f t="shared" si="32"/>
        <v>-0.45609683602320777</v>
      </c>
      <c r="BL253" s="3">
        <f t="shared" si="33"/>
        <v>0.94333424358242735</v>
      </c>
      <c r="BM253" s="3">
        <f t="shared" si="34"/>
        <v>-0.20133956506142472</v>
      </c>
      <c r="BN253" s="3">
        <f t="shared" si="35"/>
        <v>47.98660434938575</v>
      </c>
      <c r="BO253" s="2" t="str">
        <f t="shared" si="36"/>
        <v>C</v>
      </c>
    </row>
    <row r="254" spans="1:67" x14ac:dyDescent="0.35">
      <c r="A254" s="1">
        <v>253</v>
      </c>
      <c r="B254" s="10" t="s">
        <v>250</v>
      </c>
      <c r="C254" s="11">
        <v>22</v>
      </c>
      <c r="D254" s="11">
        <v>1</v>
      </c>
      <c r="E254" s="11">
        <v>1</v>
      </c>
      <c r="F254" s="11">
        <v>1</v>
      </c>
      <c r="G254" s="11">
        <v>1</v>
      </c>
      <c r="H254" s="11">
        <v>1</v>
      </c>
      <c r="I254" s="11">
        <v>1</v>
      </c>
      <c r="J254" s="11">
        <v>1</v>
      </c>
      <c r="K254" s="11">
        <v>0</v>
      </c>
      <c r="L254" s="11">
        <v>1</v>
      </c>
      <c r="M254" s="11">
        <v>1</v>
      </c>
      <c r="N254" s="11">
        <v>1</v>
      </c>
      <c r="O254" s="11">
        <v>1</v>
      </c>
      <c r="P254" s="11">
        <v>0</v>
      </c>
      <c r="Q254" s="11">
        <v>1</v>
      </c>
      <c r="R254" s="11">
        <v>1</v>
      </c>
      <c r="S254" s="11">
        <v>0</v>
      </c>
      <c r="T254" s="11">
        <v>0</v>
      </c>
      <c r="U254" s="11">
        <v>0</v>
      </c>
      <c r="V254" s="11">
        <v>0</v>
      </c>
      <c r="W254" s="11">
        <v>1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1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1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1</v>
      </c>
      <c r="AQ254" s="11">
        <v>1</v>
      </c>
      <c r="AR254" s="11">
        <v>1</v>
      </c>
      <c r="AS254" s="11">
        <v>0</v>
      </c>
      <c r="AT254" s="11">
        <v>1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1</v>
      </c>
      <c r="BF254" s="11">
        <v>1</v>
      </c>
      <c r="BG254" s="5">
        <f t="shared" si="37"/>
        <v>73.872550414064364</v>
      </c>
      <c r="BH254" s="3">
        <f t="shared" si="38"/>
        <v>18.865462803822933</v>
      </c>
      <c r="BI254" s="3">
        <f t="shared" si="39"/>
        <v>36.134537196177064</v>
      </c>
      <c r="BJ254" s="3">
        <f t="shared" si="31"/>
        <v>-0.64991623149930455</v>
      </c>
      <c r="BK254" s="3">
        <f t="shared" si="32"/>
        <v>-0.45609683602320777</v>
      </c>
      <c r="BL254" s="3">
        <f t="shared" si="33"/>
        <v>0.94333424358242735</v>
      </c>
      <c r="BM254" s="3">
        <f t="shared" si="34"/>
        <v>-0.20546205843227305</v>
      </c>
      <c r="BN254" s="3">
        <f t="shared" si="35"/>
        <v>47.945379415677266</v>
      </c>
      <c r="BO254" s="2" t="str">
        <f t="shared" si="36"/>
        <v>C</v>
      </c>
    </row>
    <row r="255" spans="1:67" x14ac:dyDescent="0.35">
      <c r="A255" s="15">
        <v>254</v>
      </c>
      <c r="B255" s="12">
        <v>903010</v>
      </c>
      <c r="C255" s="11">
        <v>25</v>
      </c>
      <c r="D255" s="11">
        <v>0</v>
      </c>
      <c r="E255" s="11">
        <v>1</v>
      </c>
      <c r="F255" s="11">
        <v>1</v>
      </c>
      <c r="G255" s="11">
        <v>1</v>
      </c>
      <c r="H255" s="11">
        <v>1</v>
      </c>
      <c r="I255" s="11">
        <v>1</v>
      </c>
      <c r="J255" s="11">
        <v>1</v>
      </c>
      <c r="K255" s="11">
        <v>1</v>
      </c>
      <c r="L255" s="11">
        <v>1</v>
      </c>
      <c r="M255" s="11">
        <v>1</v>
      </c>
      <c r="N255" s="11">
        <v>1</v>
      </c>
      <c r="O255" s="11">
        <v>1</v>
      </c>
      <c r="P255" s="11">
        <v>1</v>
      </c>
      <c r="Q255" s="11">
        <v>1</v>
      </c>
      <c r="R255" s="11">
        <v>0</v>
      </c>
      <c r="S255" s="11">
        <v>1</v>
      </c>
      <c r="T255" s="11">
        <v>1</v>
      </c>
      <c r="U255" s="11">
        <v>0</v>
      </c>
      <c r="V255" s="11">
        <v>1</v>
      </c>
      <c r="W255" s="11">
        <v>0</v>
      </c>
      <c r="X255" s="11">
        <v>1</v>
      </c>
      <c r="Y255" s="11">
        <v>1</v>
      </c>
      <c r="Z255" s="11">
        <v>0</v>
      </c>
      <c r="AA255" s="11">
        <v>0</v>
      </c>
      <c r="AB255" s="11">
        <v>0</v>
      </c>
      <c r="AC255" s="11">
        <v>1</v>
      </c>
      <c r="AD255" s="11">
        <v>0</v>
      </c>
      <c r="AE255" s="11">
        <v>0</v>
      </c>
      <c r="AF255" s="11">
        <v>1</v>
      </c>
      <c r="AG255" s="11">
        <v>1</v>
      </c>
      <c r="AH255" s="11">
        <v>1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1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1</v>
      </c>
      <c r="BB255" s="11">
        <v>0</v>
      </c>
      <c r="BC255" s="11">
        <v>0</v>
      </c>
      <c r="BD255" s="11">
        <v>1</v>
      </c>
      <c r="BE255" s="11">
        <v>0</v>
      </c>
      <c r="BF255" s="11">
        <v>0</v>
      </c>
      <c r="BG255" s="5">
        <f t="shared" si="37"/>
        <v>73.948607927928279</v>
      </c>
      <c r="BH255" s="3">
        <f t="shared" si="38"/>
        <v>18.884886259365057</v>
      </c>
      <c r="BI255" s="3">
        <f t="shared" si="39"/>
        <v>36.115113740634939</v>
      </c>
      <c r="BJ255" s="3">
        <f t="shared" si="31"/>
        <v>-0.64834950755607657</v>
      </c>
      <c r="BK255" s="3">
        <f t="shared" si="32"/>
        <v>-0.45609683602320777</v>
      </c>
      <c r="BL255" s="3">
        <f t="shared" si="33"/>
        <v>0.94333424358242735</v>
      </c>
      <c r="BM255" s="3">
        <f t="shared" si="34"/>
        <v>-0.20380122193249947</v>
      </c>
      <c r="BN255" s="3">
        <f t="shared" si="35"/>
        <v>47.961987780675003</v>
      </c>
      <c r="BO255" s="2" t="str">
        <f t="shared" si="36"/>
        <v>C</v>
      </c>
    </row>
    <row r="256" spans="1:67" x14ac:dyDescent="0.35">
      <c r="A256" s="15">
        <v>255</v>
      </c>
      <c r="B256" s="10" t="s">
        <v>251</v>
      </c>
      <c r="C256" s="11">
        <v>24</v>
      </c>
      <c r="D256" s="11">
        <v>1</v>
      </c>
      <c r="E256" s="11">
        <v>0</v>
      </c>
      <c r="F256" s="11">
        <v>1</v>
      </c>
      <c r="G256" s="11">
        <v>1</v>
      </c>
      <c r="H256" s="11">
        <v>1</v>
      </c>
      <c r="I256" s="11">
        <v>1</v>
      </c>
      <c r="J256" s="11">
        <v>0</v>
      </c>
      <c r="K256" s="11">
        <v>1</v>
      </c>
      <c r="L256" s="11">
        <v>0</v>
      </c>
      <c r="M256" s="11">
        <v>1</v>
      </c>
      <c r="N256" s="11">
        <v>1</v>
      </c>
      <c r="O256" s="11">
        <v>1</v>
      </c>
      <c r="P256" s="11">
        <v>0</v>
      </c>
      <c r="Q256" s="11">
        <v>1</v>
      </c>
      <c r="R256" s="11">
        <v>0</v>
      </c>
      <c r="S256" s="11">
        <v>1</v>
      </c>
      <c r="T256" s="11">
        <v>1</v>
      </c>
      <c r="U256" s="11">
        <v>1</v>
      </c>
      <c r="V256" s="11">
        <v>0</v>
      </c>
      <c r="W256" s="11">
        <v>0</v>
      </c>
      <c r="X256" s="11">
        <v>0</v>
      </c>
      <c r="Y256" s="11">
        <v>1</v>
      </c>
      <c r="Z256" s="11">
        <v>0</v>
      </c>
      <c r="AA256" s="11">
        <v>1</v>
      </c>
      <c r="AB256" s="11">
        <v>0</v>
      </c>
      <c r="AC256" s="11">
        <v>1</v>
      </c>
      <c r="AD256" s="11">
        <v>1</v>
      </c>
      <c r="AE256" s="11">
        <v>1</v>
      </c>
      <c r="AF256" s="11">
        <v>0</v>
      </c>
      <c r="AG256" s="11">
        <v>1</v>
      </c>
      <c r="AH256" s="11">
        <v>0</v>
      </c>
      <c r="AI256" s="11">
        <v>0</v>
      </c>
      <c r="AJ256" s="11">
        <v>1</v>
      </c>
      <c r="AK256" s="11">
        <v>0</v>
      </c>
      <c r="AL256" s="11">
        <v>1</v>
      </c>
      <c r="AM256" s="11">
        <v>0</v>
      </c>
      <c r="AN256" s="11">
        <v>0</v>
      </c>
      <c r="AO256" s="11">
        <v>0</v>
      </c>
      <c r="AP256" s="11">
        <v>0</v>
      </c>
      <c r="AQ256" s="11">
        <v>1</v>
      </c>
      <c r="AR256" s="11">
        <v>0</v>
      </c>
      <c r="AS256" s="11">
        <v>0</v>
      </c>
      <c r="AT256" s="11">
        <v>1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1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5">
        <f t="shared" si="37"/>
        <v>73.305508730274852</v>
      </c>
      <c r="BH256" s="3">
        <f t="shared" si="38"/>
        <v>18.720652536223028</v>
      </c>
      <c r="BI256" s="3">
        <f t="shared" si="39"/>
        <v>36.279347463776972</v>
      </c>
      <c r="BJ256" s="3">
        <f t="shared" si="31"/>
        <v>-0.66162131082483577</v>
      </c>
      <c r="BK256" s="3">
        <f t="shared" si="32"/>
        <v>-0.45609683602320777</v>
      </c>
      <c r="BL256" s="3">
        <f t="shared" si="33"/>
        <v>0.94333424358242735</v>
      </c>
      <c r="BM256" s="3">
        <f t="shared" si="34"/>
        <v>-0.21787025775839922</v>
      </c>
      <c r="BN256" s="3">
        <f t="shared" si="35"/>
        <v>47.821297422416009</v>
      </c>
      <c r="BO256" s="2" t="str">
        <f t="shared" si="36"/>
        <v>C</v>
      </c>
    </row>
    <row r="257" spans="1:67" x14ac:dyDescent="0.35">
      <c r="A257" s="1">
        <v>256</v>
      </c>
      <c r="B257" s="10" t="s">
        <v>252</v>
      </c>
      <c r="C257" s="11">
        <v>24</v>
      </c>
      <c r="D257" s="11">
        <v>1</v>
      </c>
      <c r="E257" s="11">
        <v>1</v>
      </c>
      <c r="F257" s="11">
        <v>1</v>
      </c>
      <c r="G257" s="11">
        <v>1</v>
      </c>
      <c r="H257" s="11">
        <v>1</v>
      </c>
      <c r="I257" s="11">
        <v>1</v>
      </c>
      <c r="J257" s="11">
        <v>1</v>
      </c>
      <c r="K257" s="11">
        <v>1</v>
      </c>
      <c r="L257" s="11">
        <v>1</v>
      </c>
      <c r="M257" s="11">
        <v>1</v>
      </c>
      <c r="N257" s="11">
        <v>0</v>
      </c>
      <c r="O257" s="11">
        <v>0</v>
      </c>
      <c r="P257" s="11">
        <v>1</v>
      </c>
      <c r="Q257" s="11">
        <v>1</v>
      </c>
      <c r="R257" s="11">
        <v>0</v>
      </c>
      <c r="S257" s="11">
        <v>0</v>
      </c>
      <c r="T257" s="11">
        <v>1</v>
      </c>
      <c r="U257" s="11">
        <v>0</v>
      </c>
      <c r="V257" s="11">
        <v>0</v>
      </c>
      <c r="W257" s="11">
        <v>1</v>
      </c>
      <c r="X257" s="11">
        <v>1</v>
      </c>
      <c r="Y257" s="11">
        <v>0</v>
      </c>
      <c r="Z257" s="11">
        <v>0</v>
      </c>
      <c r="AA257" s="11">
        <v>0</v>
      </c>
      <c r="AB257" s="11">
        <v>1</v>
      </c>
      <c r="AC257" s="11">
        <v>1</v>
      </c>
      <c r="AD257" s="11">
        <v>1</v>
      </c>
      <c r="AE257" s="11">
        <v>1</v>
      </c>
      <c r="AF257" s="11">
        <v>1</v>
      </c>
      <c r="AG257" s="11">
        <v>1</v>
      </c>
      <c r="AH257" s="11">
        <v>0</v>
      </c>
      <c r="AI257" s="11">
        <v>1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1</v>
      </c>
      <c r="AT257" s="11">
        <v>1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0</v>
      </c>
      <c r="BC257" s="11">
        <v>0</v>
      </c>
      <c r="BD257" s="11">
        <v>0</v>
      </c>
      <c r="BE257" s="11">
        <v>0</v>
      </c>
      <c r="BF257" s="11">
        <v>0</v>
      </c>
      <c r="BG257" s="5">
        <f t="shared" si="37"/>
        <v>73.253788857768058</v>
      </c>
      <c r="BH257" s="3">
        <f t="shared" si="38"/>
        <v>18.70744439158031</v>
      </c>
      <c r="BI257" s="3">
        <f t="shared" si="39"/>
        <v>36.29255560841969</v>
      </c>
      <c r="BJ257" s="3">
        <f t="shared" si="31"/>
        <v>-0.66269110013337396</v>
      </c>
      <c r="BK257" s="3">
        <f t="shared" si="32"/>
        <v>-0.45609683602320777</v>
      </c>
      <c r="BL257" s="3">
        <f t="shared" si="33"/>
        <v>0.94333424358242735</v>
      </c>
      <c r="BM257" s="3">
        <f t="shared" si="34"/>
        <v>-0.21900430893465625</v>
      </c>
      <c r="BN257" s="3">
        <f t="shared" si="35"/>
        <v>47.80995691065344</v>
      </c>
      <c r="BO257" s="2" t="str">
        <f t="shared" si="36"/>
        <v>C</v>
      </c>
    </row>
    <row r="258" spans="1:67" x14ac:dyDescent="0.35">
      <c r="A258" s="15">
        <v>257</v>
      </c>
      <c r="B258" s="10" t="s">
        <v>253</v>
      </c>
      <c r="C258" s="11">
        <v>24</v>
      </c>
      <c r="D258" s="11">
        <v>1</v>
      </c>
      <c r="E258" s="11">
        <v>1</v>
      </c>
      <c r="F258" s="11">
        <v>0</v>
      </c>
      <c r="G258" s="11">
        <v>1</v>
      </c>
      <c r="H258" s="11">
        <v>1</v>
      </c>
      <c r="I258" s="11">
        <v>0</v>
      </c>
      <c r="J258" s="11">
        <v>1</v>
      </c>
      <c r="K258" s="11">
        <v>1</v>
      </c>
      <c r="L258" s="11">
        <v>1</v>
      </c>
      <c r="M258" s="11">
        <v>1</v>
      </c>
      <c r="N258" s="11">
        <v>1</v>
      </c>
      <c r="O258" s="11">
        <v>1</v>
      </c>
      <c r="P258" s="11">
        <v>1</v>
      </c>
      <c r="Q258" s="11">
        <v>1</v>
      </c>
      <c r="R258" s="11">
        <v>0</v>
      </c>
      <c r="S258" s="11">
        <v>0</v>
      </c>
      <c r="T258" s="11">
        <v>1</v>
      </c>
      <c r="U258" s="11">
        <v>0</v>
      </c>
      <c r="V258" s="11">
        <v>1</v>
      </c>
      <c r="W258" s="11">
        <v>0</v>
      </c>
      <c r="X258" s="11">
        <v>1</v>
      </c>
      <c r="Y258" s="11">
        <v>1</v>
      </c>
      <c r="Z258" s="11">
        <v>1</v>
      </c>
      <c r="AA258" s="11">
        <v>0</v>
      </c>
      <c r="AB258" s="11">
        <v>1</v>
      </c>
      <c r="AC258" s="11">
        <v>1</v>
      </c>
      <c r="AD258" s="11">
        <v>0</v>
      </c>
      <c r="AE258" s="11">
        <v>0</v>
      </c>
      <c r="AF258" s="11">
        <v>0</v>
      </c>
      <c r="AG258" s="11">
        <v>1</v>
      </c>
      <c r="AH258" s="11">
        <v>1</v>
      </c>
      <c r="AI258" s="11">
        <v>0</v>
      </c>
      <c r="AJ258" s="11">
        <v>0</v>
      </c>
      <c r="AK258" s="11">
        <v>1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1</v>
      </c>
      <c r="AS258" s="11">
        <v>0</v>
      </c>
      <c r="AT258" s="11">
        <v>1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0</v>
      </c>
      <c r="BD258" s="11">
        <v>0</v>
      </c>
      <c r="BE258" s="11">
        <v>0</v>
      </c>
      <c r="BF258" s="11">
        <v>0</v>
      </c>
      <c r="BG258" s="5">
        <f t="shared" si="37"/>
        <v>73.089258598915393</v>
      </c>
      <c r="BH258" s="3">
        <f t="shared" si="38"/>
        <v>18.665426897110574</v>
      </c>
      <c r="BI258" s="3">
        <f t="shared" si="39"/>
        <v>36.334573102889422</v>
      </c>
      <c r="BJ258" s="3">
        <f t="shared" ref="BJ258:BJ321" si="40">LN(BH258/BI258)</f>
        <v>-0.66609673144159731</v>
      </c>
      <c r="BK258" s="3">
        <f t="shared" si="32"/>
        <v>-0.45609683602320777</v>
      </c>
      <c r="BL258" s="3">
        <f t="shared" si="33"/>
        <v>0.94333424358242735</v>
      </c>
      <c r="BM258" s="3">
        <f t="shared" si="34"/>
        <v>-0.22261451531844026</v>
      </c>
      <c r="BN258" s="3">
        <f t="shared" si="35"/>
        <v>47.773854846815595</v>
      </c>
      <c r="BO258" s="2" t="str">
        <f t="shared" si="36"/>
        <v>C</v>
      </c>
    </row>
    <row r="259" spans="1:67" x14ac:dyDescent="0.35">
      <c r="A259" s="15">
        <v>258</v>
      </c>
      <c r="B259" s="10" t="s">
        <v>254</v>
      </c>
      <c r="C259" s="11">
        <v>25</v>
      </c>
      <c r="D259" s="11">
        <v>1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1</v>
      </c>
      <c r="L259" s="11">
        <v>1</v>
      </c>
      <c r="M259" s="11">
        <v>1</v>
      </c>
      <c r="N259" s="11">
        <v>1</v>
      </c>
      <c r="O259" s="11">
        <v>1</v>
      </c>
      <c r="P259" s="11">
        <v>1</v>
      </c>
      <c r="Q259" s="11">
        <v>1</v>
      </c>
      <c r="R259" s="11">
        <v>1</v>
      </c>
      <c r="S259" s="11">
        <v>0</v>
      </c>
      <c r="T259" s="11">
        <v>1</v>
      </c>
      <c r="U259" s="11">
        <v>0</v>
      </c>
      <c r="V259" s="11">
        <v>1</v>
      </c>
      <c r="W259" s="11">
        <v>0</v>
      </c>
      <c r="X259" s="11">
        <v>1</v>
      </c>
      <c r="Y259" s="11">
        <v>1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1</v>
      </c>
      <c r="AF259" s="11">
        <v>1</v>
      </c>
      <c r="AG259" s="11">
        <v>1</v>
      </c>
      <c r="AH259" s="11">
        <v>1</v>
      </c>
      <c r="AI259" s="11">
        <v>1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1</v>
      </c>
      <c r="BC259" s="11">
        <v>0</v>
      </c>
      <c r="BD259" s="11">
        <v>0</v>
      </c>
      <c r="BE259" s="11">
        <v>0</v>
      </c>
      <c r="BF259" s="11">
        <v>0</v>
      </c>
      <c r="BG259" s="5">
        <f t="shared" si="37"/>
        <v>73.08706270029171</v>
      </c>
      <c r="BH259" s="3">
        <f t="shared" si="38"/>
        <v>18.664866111763729</v>
      </c>
      <c r="BI259" s="3">
        <f t="shared" si="39"/>
        <v>36.335133888236271</v>
      </c>
      <c r="BJ259" s="3">
        <f t="shared" si="40"/>
        <v>-0.66614220977384297</v>
      </c>
      <c r="BK259" s="3">
        <f t="shared" ref="BK259:BK322" si="41">AVERAGE($BJ$2:$BJ$472)</f>
        <v>-0.45609683602320777</v>
      </c>
      <c r="BL259" s="3">
        <f t="shared" ref="BL259:BL322" si="42">_xlfn.STDEV.S($BJ$2:$BJ$472)</f>
        <v>0.94333424358242735</v>
      </c>
      <c r="BM259" s="3">
        <f t="shared" ref="BM259:BM322" si="43">(BJ259-BK259)/BL259</f>
        <v>-0.22266272551811769</v>
      </c>
      <c r="BN259" s="3">
        <f t="shared" ref="BN259:BN322" si="44">50+10*BM259</f>
        <v>47.773372744818822</v>
      </c>
      <c r="BO259" s="2" t="str">
        <f t="shared" ref="BO259:BO322" si="45">IF(BN259&lt;45,"NC",IF(BN259&lt;50,"C",IF(BN259&lt;55,"C+",IF(BN259&lt;60,"B",IF(BN259&lt;65,"B+",IF(BN259&lt;=70,"A","A+"))))))</f>
        <v>C</v>
      </c>
    </row>
    <row r="260" spans="1:67" x14ac:dyDescent="0.35">
      <c r="A260" s="1">
        <v>259</v>
      </c>
      <c r="B260" s="10" t="s">
        <v>255</v>
      </c>
      <c r="C260" s="11">
        <v>23</v>
      </c>
      <c r="D260" s="11">
        <v>0</v>
      </c>
      <c r="E260" s="11">
        <v>0</v>
      </c>
      <c r="F260" s="11">
        <v>1</v>
      </c>
      <c r="G260" s="11">
        <v>1</v>
      </c>
      <c r="H260" s="11">
        <v>0</v>
      </c>
      <c r="I260" s="11">
        <v>1</v>
      </c>
      <c r="J260" s="11">
        <v>1</v>
      </c>
      <c r="K260" s="11">
        <v>1</v>
      </c>
      <c r="L260" s="11">
        <v>1</v>
      </c>
      <c r="M260" s="11">
        <v>1</v>
      </c>
      <c r="N260" s="11">
        <v>0</v>
      </c>
      <c r="O260" s="11">
        <v>1</v>
      </c>
      <c r="P260" s="11">
        <v>0</v>
      </c>
      <c r="Q260" s="11">
        <v>1</v>
      </c>
      <c r="R260" s="11">
        <v>0</v>
      </c>
      <c r="S260" s="11">
        <v>0</v>
      </c>
      <c r="T260" s="11">
        <v>1</v>
      </c>
      <c r="U260" s="11">
        <v>1</v>
      </c>
      <c r="V260" s="11">
        <v>1</v>
      </c>
      <c r="W260" s="11">
        <v>1</v>
      </c>
      <c r="X260" s="11">
        <v>0</v>
      </c>
      <c r="Y260" s="11">
        <v>1</v>
      </c>
      <c r="Z260" s="11">
        <v>1</v>
      </c>
      <c r="AA260" s="11">
        <v>0</v>
      </c>
      <c r="AB260" s="11">
        <v>0</v>
      </c>
      <c r="AC260" s="11">
        <v>1</v>
      </c>
      <c r="AD260" s="11">
        <v>1</v>
      </c>
      <c r="AE260" s="11">
        <v>0</v>
      </c>
      <c r="AF260" s="11">
        <v>0</v>
      </c>
      <c r="AG260" s="11">
        <v>1</v>
      </c>
      <c r="AH260" s="11">
        <v>0</v>
      </c>
      <c r="AI260" s="11">
        <v>0</v>
      </c>
      <c r="AJ260" s="11">
        <v>0</v>
      </c>
      <c r="AK260" s="11">
        <v>0</v>
      </c>
      <c r="AL260" s="11">
        <v>1</v>
      </c>
      <c r="AM260" s="11">
        <v>0</v>
      </c>
      <c r="AN260" s="11">
        <v>0</v>
      </c>
      <c r="AO260" s="11">
        <v>0</v>
      </c>
      <c r="AP260" s="11">
        <v>0</v>
      </c>
      <c r="AQ260" s="11">
        <v>1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1</v>
      </c>
      <c r="BB260" s="11">
        <v>1</v>
      </c>
      <c r="BC260" s="11">
        <v>1</v>
      </c>
      <c r="BD260" s="11">
        <v>0</v>
      </c>
      <c r="BE260" s="11">
        <v>0</v>
      </c>
      <c r="BF260" s="11">
        <v>0</v>
      </c>
      <c r="BG260" s="5">
        <f t="shared" ref="BG260:BG323" si="46">D260*$D$477+E260*$E$477+F260*$F$477+G260*$G$477+H260*$H$477+I260*$I$477+J260*$J$477+K260*$K$477+L260*$L$477+M260*$M$477+N260*$N$477+O260*$O$477+P260*$P$477+Q260*$Q$477+R260*$R$477+S260*$S$477+T260*$T$477+U260*$U$477+V260*$V$477+W260*W$477+X260*$X$477+Y260*$Y$477+Z260*$Z$477+AA260*$AA$477+AB260*$AB$477+AC260*$AC$477+AD260*$AD$477+AE260*$AE$477+AF260*$AF$477+AG260*$AG$477+AH260*$AH$477+AI260*$AI$477+AJ260*$AJ$477+AK260*$AK$477+AL260*$AL$477+AM260*$AM$477+AN260*$AN$477+AO260*$AO$477+AP260*$AP$477+AQ260*$AQ$477+AR260*$AR$477+AS260*$AS$477+AT260*$AT$477+AU260*$AU$477+AV260*$AV$477+AW260*$AW$477+AX260*$AX$477+AY260*$AY$477+AZ260*$AZ$477+BA260*$BA$477+BB260*$BB$477+BC260*$BC$477+BD260*$BD$477+BE260*$BE$477+BF260*$BF$477</f>
        <v>73.025464789895381</v>
      </c>
      <c r="BH260" s="3">
        <f t="shared" ref="BH260:BH323" si="47">BG260*55/$BG$2</f>
        <v>18.649135328396138</v>
      </c>
      <c r="BI260" s="3">
        <f t="shared" ref="BI260:BI323" si="48">55-BH260</f>
        <v>36.350864671603858</v>
      </c>
      <c r="BJ260" s="3">
        <f t="shared" si="40"/>
        <v>-0.66741820915964567</v>
      </c>
      <c r="BK260" s="3">
        <f t="shared" si="41"/>
        <v>-0.45609683602320777</v>
      </c>
      <c r="BL260" s="3">
        <f t="shared" si="42"/>
        <v>0.94333424358242735</v>
      </c>
      <c r="BM260" s="3">
        <f t="shared" si="43"/>
        <v>-0.22401537373849495</v>
      </c>
      <c r="BN260" s="3">
        <f t="shared" si="44"/>
        <v>47.759846262615049</v>
      </c>
      <c r="BO260" s="2" t="str">
        <f t="shared" si="45"/>
        <v>C</v>
      </c>
    </row>
    <row r="261" spans="1:67" x14ac:dyDescent="0.35">
      <c r="A261" s="15">
        <v>260</v>
      </c>
      <c r="B261" s="10" t="s">
        <v>256</v>
      </c>
      <c r="C261" s="11">
        <v>25</v>
      </c>
      <c r="D261" s="11">
        <v>1</v>
      </c>
      <c r="E261" s="11">
        <v>1</v>
      </c>
      <c r="F261" s="11">
        <v>1</v>
      </c>
      <c r="G261" s="11">
        <v>1</v>
      </c>
      <c r="H261" s="11">
        <v>1</v>
      </c>
      <c r="I261" s="11">
        <v>0</v>
      </c>
      <c r="J261" s="11">
        <v>1</v>
      </c>
      <c r="K261" s="11">
        <v>1</v>
      </c>
      <c r="L261" s="11">
        <v>1</v>
      </c>
      <c r="M261" s="11">
        <v>1</v>
      </c>
      <c r="N261" s="11">
        <v>1</v>
      </c>
      <c r="O261" s="11">
        <v>1</v>
      </c>
      <c r="P261" s="11">
        <v>1</v>
      </c>
      <c r="Q261" s="11">
        <v>1</v>
      </c>
      <c r="R261" s="11">
        <v>1</v>
      </c>
      <c r="S261" s="11">
        <v>1</v>
      </c>
      <c r="T261" s="11">
        <v>1</v>
      </c>
      <c r="U261" s="11">
        <v>1</v>
      </c>
      <c r="V261" s="11">
        <v>1</v>
      </c>
      <c r="W261" s="11">
        <v>1</v>
      </c>
      <c r="X261" s="11">
        <v>1</v>
      </c>
      <c r="Y261" s="11">
        <v>1</v>
      </c>
      <c r="Z261" s="11">
        <v>1</v>
      </c>
      <c r="AA261" s="11">
        <v>1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1</v>
      </c>
      <c r="AH261" s="11">
        <v>0</v>
      </c>
      <c r="AI261" s="11">
        <v>1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5">
        <f t="shared" si="46"/>
        <v>72.4412519144051</v>
      </c>
      <c r="BH261" s="3">
        <f t="shared" si="47"/>
        <v>18.499939907224135</v>
      </c>
      <c r="BI261" s="3">
        <f t="shared" si="48"/>
        <v>36.500060092775868</v>
      </c>
      <c r="BJ261" s="3">
        <f t="shared" si="40"/>
        <v>-0.67954642314366287</v>
      </c>
      <c r="BK261" s="3">
        <f t="shared" si="41"/>
        <v>-0.45609683602320777</v>
      </c>
      <c r="BL261" s="3">
        <f t="shared" si="42"/>
        <v>0.94333424358242735</v>
      </c>
      <c r="BM261" s="3">
        <f t="shared" si="43"/>
        <v>-0.23687212527330495</v>
      </c>
      <c r="BN261" s="3">
        <f t="shared" si="44"/>
        <v>47.631278747266947</v>
      </c>
      <c r="BO261" s="2" t="str">
        <f t="shared" si="45"/>
        <v>C</v>
      </c>
    </row>
    <row r="262" spans="1:67" x14ac:dyDescent="0.35">
      <c r="A262" s="15">
        <v>261</v>
      </c>
      <c r="B262" s="10" t="s">
        <v>257</v>
      </c>
      <c r="C262" s="11">
        <v>23</v>
      </c>
      <c r="D262" s="11">
        <v>1</v>
      </c>
      <c r="E262" s="11">
        <v>1</v>
      </c>
      <c r="F262" s="11">
        <v>1</v>
      </c>
      <c r="G262" s="11">
        <v>1</v>
      </c>
      <c r="H262" s="11">
        <v>1</v>
      </c>
      <c r="I262" s="11">
        <v>1</v>
      </c>
      <c r="J262" s="11">
        <v>1</v>
      </c>
      <c r="K262" s="11">
        <v>1</v>
      </c>
      <c r="L262" s="11">
        <v>1</v>
      </c>
      <c r="M262" s="11">
        <v>0</v>
      </c>
      <c r="N262" s="11">
        <v>1</v>
      </c>
      <c r="O262" s="11">
        <v>1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1</v>
      </c>
      <c r="V262" s="11">
        <v>0</v>
      </c>
      <c r="W262" s="11">
        <v>1</v>
      </c>
      <c r="X262" s="11">
        <v>0</v>
      </c>
      <c r="Y262" s="11">
        <v>1</v>
      </c>
      <c r="Z262" s="11">
        <v>0</v>
      </c>
      <c r="AA262" s="11">
        <v>0</v>
      </c>
      <c r="AB262" s="11">
        <v>0</v>
      </c>
      <c r="AC262" s="11">
        <v>1</v>
      </c>
      <c r="AD262" s="11">
        <v>1</v>
      </c>
      <c r="AE262" s="11">
        <v>0</v>
      </c>
      <c r="AF262" s="11">
        <v>0</v>
      </c>
      <c r="AG262" s="11">
        <v>1</v>
      </c>
      <c r="AH262" s="11">
        <v>0</v>
      </c>
      <c r="AI262" s="11">
        <v>1</v>
      </c>
      <c r="AJ262" s="11">
        <v>1</v>
      </c>
      <c r="AK262" s="11">
        <v>0</v>
      </c>
      <c r="AL262" s="11">
        <v>1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1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1</v>
      </c>
      <c r="BB262" s="11">
        <v>0</v>
      </c>
      <c r="BC262" s="11">
        <v>1</v>
      </c>
      <c r="BD262" s="11">
        <v>0</v>
      </c>
      <c r="BE262" s="11">
        <v>0</v>
      </c>
      <c r="BF262" s="11">
        <v>0</v>
      </c>
      <c r="BG262" s="5">
        <f t="shared" si="46"/>
        <v>71.998343917284828</v>
      </c>
      <c r="BH262" s="3">
        <f t="shared" si="47"/>
        <v>18.386830717161608</v>
      </c>
      <c r="BI262" s="3">
        <f t="shared" si="48"/>
        <v>36.613169282838392</v>
      </c>
      <c r="BJ262" s="3">
        <f t="shared" si="40"/>
        <v>-0.68877330568953488</v>
      </c>
      <c r="BK262" s="3">
        <f t="shared" si="41"/>
        <v>-0.45609683602320777</v>
      </c>
      <c r="BL262" s="3">
        <f t="shared" si="42"/>
        <v>0.94333424358242735</v>
      </c>
      <c r="BM262" s="3">
        <f t="shared" si="43"/>
        <v>-0.24665326341033661</v>
      </c>
      <c r="BN262" s="3">
        <f t="shared" si="44"/>
        <v>47.533467365896634</v>
      </c>
      <c r="BO262" s="2" t="str">
        <f t="shared" si="45"/>
        <v>C</v>
      </c>
    </row>
    <row r="263" spans="1:67" x14ac:dyDescent="0.35">
      <c r="A263" s="1">
        <v>262</v>
      </c>
      <c r="B263" s="12">
        <v>1210009</v>
      </c>
      <c r="C263" s="11">
        <v>25</v>
      </c>
      <c r="D263" s="11">
        <v>1</v>
      </c>
      <c r="E263" s="11">
        <v>1</v>
      </c>
      <c r="F263" s="11">
        <v>1</v>
      </c>
      <c r="G263" s="11">
        <v>1</v>
      </c>
      <c r="H263" s="11">
        <v>1</v>
      </c>
      <c r="I263" s="11">
        <v>0</v>
      </c>
      <c r="J263" s="11">
        <v>1</v>
      </c>
      <c r="K263" s="11">
        <v>1</v>
      </c>
      <c r="L263" s="11">
        <v>1</v>
      </c>
      <c r="M263" s="11">
        <v>1</v>
      </c>
      <c r="N263" s="11">
        <v>1</v>
      </c>
      <c r="O263" s="11">
        <v>1</v>
      </c>
      <c r="P263" s="11">
        <v>1</v>
      </c>
      <c r="Q263" s="11">
        <v>1</v>
      </c>
      <c r="R263" s="11">
        <v>1</v>
      </c>
      <c r="S263" s="11">
        <v>1</v>
      </c>
      <c r="T263" s="11">
        <v>1</v>
      </c>
      <c r="U263" s="11">
        <v>0</v>
      </c>
      <c r="V263" s="11">
        <v>0</v>
      </c>
      <c r="W263" s="11">
        <v>0</v>
      </c>
      <c r="X263" s="11">
        <v>1</v>
      </c>
      <c r="Y263" s="11">
        <v>1</v>
      </c>
      <c r="Z263" s="11">
        <v>1</v>
      </c>
      <c r="AA263" s="11">
        <v>0</v>
      </c>
      <c r="AB263" s="11">
        <v>0</v>
      </c>
      <c r="AC263" s="11">
        <v>1</v>
      </c>
      <c r="AD263" s="11">
        <v>0</v>
      </c>
      <c r="AE263" s="11">
        <v>1</v>
      </c>
      <c r="AF263" s="11">
        <v>1</v>
      </c>
      <c r="AG263" s="11">
        <v>1</v>
      </c>
      <c r="AH263" s="11">
        <v>0</v>
      </c>
      <c r="AI263" s="11">
        <v>0</v>
      </c>
      <c r="AJ263" s="11">
        <v>0</v>
      </c>
      <c r="AK263" s="11">
        <v>1</v>
      </c>
      <c r="AL263" s="11">
        <v>0</v>
      </c>
      <c r="AM263" s="11">
        <v>1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5">
        <f t="shared" si="46"/>
        <v>71.833191759981887</v>
      </c>
      <c r="BH263" s="3">
        <f t="shared" si="47"/>
        <v>18.344654403184276</v>
      </c>
      <c r="BI263" s="3">
        <f t="shared" si="48"/>
        <v>36.655345596815721</v>
      </c>
      <c r="BJ263" s="3">
        <f t="shared" si="40"/>
        <v>-0.69222105411605528</v>
      </c>
      <c r="BK263" s="3">
        <f t="shared" si="41"/>
        <v>-0.45609683602320777</v>
      </c>
      <c r="BL263" s="3">
        <f t="shared" si="42"/>
        <v>0.94333424358242735</v>
      </c>
      <c r="BM263" s="3">
        <f t="shared" si="43"/>
        <v>-0.2503081168729091</v>
      </c>
      <c r="BN263" s="3">
        <f t="shared" si="44"/>
        <v>47.496918831270911</v>
      </c>
      <c r="BO263" s="2" t="str">
        <f t="shared" si="45"/>
        <v>C</v>
      </c>
    </row>
    <row r="264" spans="1:67" x14ac:dyDescent="0.35">
      <c r="A264" s="15">
        <v>263</v>
      </c>
      <c r="B264" s="10" t="s">
        <v>258</v>
      </c>
      <c r="C264" s="11">
        <v>24</v>
      </c>
      <c r="D264" s="11">
        <v>1</v>
      </c>
      <c r="E264" s="11">
        <v>1</v>
      </c>
      <c r="F264" s="11">
        <v>1</v>
      </c>
      <c r="G264" s="11">
        <v>1</v>
      </c>
      <c r="H264" s="11">
        <v>1</v>
      </c>
      <c r="I264" s="11">
        <v>0</v>
      </c>
      <c r="J264" s="11">
        <v>0</v>
      </c>
      <c r="K264" s="11">
        <v>1</v>
      </c>
      <c r="L264" s="11">
        <v>1</v>
      </c>
      <c r="M264" s="11">
        <v>1</v>
      </c>
      <c r="N264" s="11">
        <v>1</v>
      </c>
      <c r="O264" s="11">
        <v>1</v>
      </c>
      <c r="P264" s="11">
        <v>1</v>
      </c>
      <c r="Q264" s="11">
        <v>1</v>
      </c>
      <c r="R264" s="11">
        <v>1</v>
      </c>
      <c r="S264" s="11">
        <v>1</v>
      </c>
      <c r="T264" s="11">
        <v>0</v>
      </c>
      <c r="U264" s="11">
        <v>0</v>
      </c>
      <c r="V264" s="11">
        <v>1</v>
      </c>
      <c r="W264" s="11">
        <v>1</v>
      </c>
      <c r="X264" s="11">
        <v>1</v>
      </c>
      <c r="Y264" s="11">
        <v>1</v>
      </c>
      <c r="Z264" s="11">
        <v>0</v>
      </c>
      <c r="AA264" s="11">
        <v>1</v>
      </c>
      <c r="AB264" s="11">
        <v>0</v>
      </c>
      <c r="AC264" s="11">
        <v>1</v>
      </c>
      <c r="AD264" s="11">
        <v>0</v>
      </c>
      <c r="AE264" s="11">
        <v>1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1</v>
      </c>
      <c r="AM264" s="11">
        <v>1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1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5">
        <f t="shared" si="46"/>
        <v>71.780319075896585</v>
      </c>
      <c r="BH264" s="3">
        <f t="shared" si="47"/>
        <v>18.331151855223517</v>
      </c>
      <c r="BI264" s="3">
        <f t="shared" si="48"/>
        <v>36.668848144776483</v>
      </c>
      <c r="BJ264" s="3">
        <f t="shared" si="40"/>
        <v>-0.69332567044265547</v>
      </c>
      <c r="BK264" s="3">
        <f t="shared" si="41"/>
        <v>-0.45609683602320777</v>
      </c>
      <c r="BL264" s="3">
        <f t="shared" si="42"/>
        <v>0.94333424358242735</v>
      </c>
      <c r="BM264" s="3">
        <f t="shared" si="43"/>
        <v>-0.25147908711396094</v>
      </c>
      <c r="BN264" s="3">
        <f t="shared" si="44"/>
        <v>47.48520912886039</v>
      </c>
      <c r="BO264" s="2" t="str">
        <f t="shared" si="45"/>
        <v>C</v>
      </c>
    </row>
    <row r="265" spans="1:67" x14ac:dyDescent="0.35">
      <c r="A265" s="15">
        <v>264</v>
      </c>
      <c r="B265" s="10" t="s">
        <v>259</v>
      </c>
      <c r="C265" s="11">
        <v>24</v>
      </c>
      <c r="D265" s="11">
        <v>1</v>
      </c>
      <c r="E265" s="11">
        <v>1</v>
      </c>
      <c r="F265" s="11">
        <v>1</v>
      </c>
      <c r="G265" s="11">
        <v>1</v>
      </c>
      <c r="H265" s="11">
        <v>1</v>
      </c>
      <c r="I265" s="11">
        <v>1</v>
      </c>
      <c r="J265" s="11">
        <v>1</v>
      </c>
      <c r="K265" s="11">
        <v>1</v>
      </c>
      <c r="L265" s="11">
        <v>0</v>
      </c>
      <c r="M265" s="11">
        <v>1</v>
      </c>
      <c r="N265" s="11">
        <v>0</v>
      </c>
      <c r="O265" s="11">
        <v>1</v>
      </c>
      <c r="P265" s="11">
        <v>0</v>
      </c>
      <c r="Q265" s="11">
        <v>1</v>
      </c>
      <c r="R265" s="11">
        <v>1</v>
      </c>
      <c r="S265" s="11">
        <v>1</v>
      </c>
      <c r="T265" s="11">
        <v>1</v>
      </c>
      <c r="U265" s="11">
        <v>1</v>
      </c>
      <c r="V265" s="11">
        <v>0</v>
      </c>
      <c r="W265" s="11">
        <v>1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1</v>
      </c>
      <c r="AD265" s="11">
        <v>0</v>
      </c>
      <c r="AE265" s="11">
        <v>1</v>
      </c>
      <c r="AF265" s="11">
        <v>1</v>
      </c>
      <c r="AG265" s="11">
        <v>0</v>
      </c>
      <c r="AH265" s="11">
        <v>0</v>
      </c>
      <c r="AI265" s="11">
        <v>1</v>
      </c>
      <c r="AJ265" s="11">
        <v>0</v>
      </c>
      <c r="AK265" s="11">
        <v>1</v>
      </c>
      <c r="AL265" s="11">
        <v>0</v>
      </c>
      <c r="AM265" s="11">
        <v>1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1</v>
      </c>
      <c r="BB265" s="11">
        <v>1</v>
      </c>
      <c r="BC265" s="11">
        <v>0</v>
      </c>
      <c r="BD265" s="11">
        <v>0</v>
      </c>
      <c r="BE265" s="11">
        <v>0</v>
      </c>
      <c r="BF265" s="11">
        <v>0</v>
      </c>
      <c r="BG265" s="5">
        <f t="shared" si="46"/>
        <v>70.653752754480152</v>
      </c>
      <c r="BH265" s="3">
        <f t="shared" si="47"/>
        <v>18.043451012168894</v>
      </c>
      <c r="BI265" s="3">
        <f t="shared" si="48"/>
        <v>36.956548987831106</v>
      </c>
      <c r="BJ265" s="3">
        <f t="shared" si="40"/>
        <v>-0.71696007674126805</v>
      </c>
      <c r="BK265" s="3">
        <f t="shared" si="41"/>
        <v>-0.45609683602320777</v>
      </c>
      <c r="BL265" s="3">
        <f t="shared" si="42"/>
        <v>0.94333424358242735</v>
      </c>
      <c r="BM265" s="3">
        <f t="shared" si="43"/>
        <v>-0.27653320389112573</v>
      </c>
      <c r="BN265" s="3">
        <f t="shared" si="44"/>
        <v>47.234667961088746</v>
      </c>
      <c r="BO265" s="2" t="str">
        <f t="shared" si="45"/>
        <v>C</v>
      </c>
    </row>
    <row r="266" spans="1:67" x14ac:dyDescent="0.35">
      <c r="A266" s="1">
        <v>265</v>
      </c>
      <c r="B266" s="10" t="s">
        <v>260</v>
      </c>
      <c r="C266" s="11">
        <v>24</v>
      </c>
      <c r="D266" s="11">
        <v>1</v>
      </c>
      <c r="E266" s="11">
        <v>1</v>
      </c>
      <c r="F266" s="11">
        <v>1</v>
      </c>
      <c r="G266" s="11">
        <v>1</v>
      </c>
      <c r="H266" s="11">
        <v>1</v>
      </c>
      <c r="I266" s="11">
        <v>1</v>
      </c>
      <c r="J266" s="11">
        <v>0</v>
      </c>
      <c r="K266" s="11">
        <v>1</v>
      </c>
      <c r="L266" s="11">
        <v>1</v>
      </c>
      <c r="M266" s="11">
        <v>1</v>
      </c>
      <c r="N266" s="11">
        <v>1</v>
      </c>
      <c r="O266" s="11">
        <v>1</v>
      </c>
      <c r="P266" s="11">
        <v>1</v>
      </c>
      <c r="Q266" s="11">
        <v>1</v>
      </c>
      <c r="R266" s="11">
        <v>0</v>
      </c>
      <c r="S266" s="11">
        <v>1</v>
      </c>
      <c r="T266" s="11">
        <v>1</v>
      </c>
      <c r="U266" s="11">
        <v>1</v>
      </c>
      <c r="V266" s="11">
        <v>1</v>
      </c>
      <c r="W266" s="11">
        <v>0</v>
      </c>
      <c r="X266" s="11">
        <v>1</v>
      </c>
      <c r="Y266" s="11">
        <v>0</v>
      </c>
      <c r="Z266" s="11">
        <v>1</v>
      </c>
      <c r="AA266" s="11">
        <v>0</v>
      </c>
      <c r="AB266" s="11">
        <v>0</v>
      </c>
      <c r="AC266" s="11">
        <v>1</v>
      </c>
      <c r="AD266" s="11">
        <v>0</v>
      </c>
      <c r="AE266" s="11">
        <v>0</v>
      </c>
      <c r="AF266" s="11">
        <v>1</v>
      </c>
      <c r="AG266" s="11">
        <v>0</v>
      </c>
      <c r="AH266" s="11">
        <v>0</v>
      </c>
      <c r="AI266" s="11">
        <v>0</v>
      </c>
      <c r="AJ266" s="11">
        <v>0</v>
      </c>
      <c r="AK266" s="11">
        <v>1</v>
      </c>
      <c r="AL266" s="11">
        <v>0</v>
      </c>
      <c r="AM266" s="11">
        <v>1</v>
      </c>
      <c r="AN266" s="11">
        <v>1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5">
        <f t="shared" si="46"/>
        <v>70.536353768583297</v>
      </c>
      <c r="BH266" s="3">
        <f t="shared" si="47"/>
        <v>18.013469832566599</v>
      </c>
      <c r="BI266" s="3">
        <f t="shared" si="48"/>
        <v>36.986530167433401</v>
      </c>
      <c r="BJ266" s="3">
        <f t="shared" si="40"/>
        <v>-0.71943399476046022</v>
      </c>
      <c r="BK266" s="3">
        <f t="shared" si="41"/>
        <v>-0.45609683602320777</v>
      </c>
      <c r="BL266" s="3">
        <f t="shared" si="42"/>
        <v>0.94333424358242735</v>
      </c>
      <c r="BM266" s="3">
        <f t="shared" si="43"/>
        <v>-0.27915572929611598</v>
      </c>
      <c r="BN266" s="3">
        <f t="shared" si="44"/>
        <v>47.208442707038841</v>
      </c>
      <c r="BO266" s="2" t="str">
        <f t="shared" si="45"/>
        <v>C</v>
      </c>
    </row>
    <row r="267" spans="1:67" x14ac:dyDescent="0.35">
      <c r="A267" s="15">
        <v>266</v>
      </c>
      <c r="B267" s="10" t="s">
        <v>261</v>
      </c>
      <c r="C267" s="11">
        <v>22</v>
      </c>
      <c r="D267" s="11">
        <v>0</v>
      </c>
      <c r="E267" s="11">
        <v>0</v>
      </c>
      <c r="F267" s="11">
        <v>1</v>
      </c>
      <c r="G267" s="11">
        <v>0</v>
      </c>
      <c r="H267" s="11">
        <v>1</v>
      </c>
      <c r="I267" s="11">
        <v>0</v>
      </c>
      <c r="J267" s="11">
        <v>1</v>
      </c>
      <c r="K267" s="11">
        <v>1</v>
      </c>
      <c r="L267" s="11">
        <v>0</v>
      </c>
      <c r="M267" s="11">
        <v>0</v>
      </c>
      <c r="N267" s="11">
        <v>1</v>
      </c>
      <c r="O267" s="11">
        <v>1</v>
      </c>
      <c r="P267" s="11">
        <v>1</v>
      </c>
      <c r="Q267" s="11">
        <v>1</v>
      </c>
      <c r="R267" s="11">
        <v>0</v>
      </c>
      <c r="S267" s="11">
        <v>1</v>
      </c>
      <c r="T267" s="11">
        <v>1</v>
      </c>
      <c r="U267" s="11">
        <v>1</v>
      </c>
      <c r="V267" s="11">
        <v>1</v>
      </c>
      <c r="W267" s="11">
        <v>1</v>
      </c>
      <c r="X267" s="11">
        <v>1</v>
      </c>
      <c r="Y267" s="11">
        <v>1</v>
      </c>
      <c r="Z267" s="11">
        <v>0</v>
      </c>
      <c r="AA267" s="11">
        <v>0</v>
      </c>
      <c r="AB267" s="11">
        <v>0</v>
      </c>
      <c r="AC267" s="11">
        <v>0</v>
      </c>
      <c r="AD267" s="11">
        <v>1</v>
      </c>
      <c r="AE267" s="11">
        <v>0</v>
      </c>
      <c r="AF267" s="11">
        <v>1</v>
      </c>
      <c r="AG267" s="11">
        <v>1</v>
      </c>
      <c r="AH267" s="11">
        <v>1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1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0</v>
      </c>
      <c r="BA267" s="11">
        <v>1</v>
      </c>
      <c r="BB267" s="11">
        <v>1</v>
      </c>
      <c r="BC267" s="11">
        <v>0</v>
      </c>
      <c r="BD267" s="11">
        <v>0</v>
      </c>
      <c r="BE267" s="11">
        <v>0</v>
      </c>
      <c r="BF267" s="11">
        <v>0</v>
      </c>
      <c r="BG267" s="5">
        <f t="shared" si="46"/>
        <v>70.530467009932948</v>
      </c>
      <c r="BH267" s="3">
        <f t="shared" si="47"/>
        <v>18.011966480838108</v>
      </c>
      <c r="BI267" s="3">
        <f t="shared" si="48"/>
        <v>36.988033519161888</v>
      </c>
      <c r="BJ267" s="3">
        <f t="shared" si="40"/>
        <v>-0.71955810042962787</v>
      </c>
      <c r="BK267" s="3">
        <f t="shared" si="41"/>
        <v>-0.45609683602320777</v>
      </c>
      <c r="BL267" s="3">
        <f t="shared" si="42"/>
        <v>0.94333424358242735</v>
      </c>
      <c r="BM267" s="3">
        <f t="shared" si="43"/>
        <v>-0.27928728994920576</v>
      </c>
      <c r="BN267" s="3">
        <f t="shared" si="44"/>
        <v>47.20712710050794</v>
      </c>
      <c r="BO267" s="2" t="str">
        <f t="shared" si="45"/>
        <v>C</v>
      </c>
    </row>
    <row r="268" spans="1:67" x14ac:dyDescent="0.35">
      <c r="A268" s="15">
        <v>267</v>
      </c>
      <c r="B268" s="10" t="s">
        <v>262</v>
      </c>
      <c r="C268" s="11">
        <v>24</v>
      </c>
      <c r="D268" s="11">
        <v>1</v>
      </c>
      <c r="E268" s="11">
        <v>1</v>
      </c>
      <c r="F268" s="11">
        <v>1</v>
      </c>
      <c r="G268" s="11">
        <v>1</v>
      </c>
      <c r="H268" s="11">
        <v>1</v>
      </c>
      <c r="I268" s="11">
        <v>0</v>
      </c>
      <c r="J268" s="11">
        <v>1</v>
      </c>
      <c r="K268" s="11">
        <v>1</v>
      </c>
      <c r="L268" s="11">
        <v>1</v>
      </c>
      <c r="M268" s="11">
        <v>1</v>
      </c>
      <c r="N268" s="11">
        <v>1</v>
      </c>
      <c r="O268" s="11">
        <v>1</v>
      </c>
      <c r="P268" s="11">
        <v>0</v>
      </c>
      <c r="Q268" s="11">
        <v>1</v>
      </c>
      <c r="R268" s="11">
        <v>1</v>
      </c>
      <c r="S268" s="11">
        <v>0</v>
      </c>
      <c r="T268" s="11">
        <v>1</v>
      </c>
      <c r="U268" s="11">
        <v>1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1</v>
      </c>
      <c r="AB268" s="11">
        <v>0</v>
      </c>
      <c r="AC268" s="11">
        <v>1</v>
      </c>
      <c r="AD268" s="11">
        <v>0</v>
      </c>
      <c r="AE268" s="11">
        <v>1</v>
      </c>
      <c r="AF268" s="11">
        <v>1</v>
      </c>
      <c r="AG268" s="11">
        <v>1</v>
      </c>
      <c r="AH268" s="11">
        <v>1</v>
      </c>
      <c r="AI268" s="11">
        <v>1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1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1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5">
        <f t="shared" si="46"/>
        <v>70.467541469699384</v>
      </c>
      <c r="BH268" s="3">
        <f t="shared" si="47"/>
        <v>17.99589664932379</v>
      </c>
      <c r="BI268" s="3">
        <f t="shared" si="48"/>
        <v>37.00410335067621</v>
      </c>
      <c r="BJ268" s="3">
        <f t="shared" si="40"/>
        <v>-0.72088503988276631</v>
      </c>
      <c r="BK268" s="3">
        <f t="shared" si="41"/>
        <v>-0.45609683602320777</v>
      </c>
      <c r="BL268" s="3">
        <f t="shared" si="42"/>
        <v>0.94333424358242735</v>
      </c>
      <c r="BM268" s="3">
        <f t="shared" si="43"/>
        <v>-0.28069393818885752</v>
      </c>
      <c r="BN268" s="3">
        <f t="shared" si="44"/>
        <v>47.193060618111424</v>
      </c>
      <c r="BO268" s="2" t="str">
        <f t="shared" si="45"/>
        <v>C</v>
      </c>
    </row>
    <row r="269" spans="1:67" x14ac:dyDescent="0.35">
      <c r="A269" s="1">
        <v>268</v>
      </c>
      <c r="B269" s="10" t="s">
        <v>263</v>
      </c>
      <c r="C269" s="11">
        <v>24</v>
      </c>
      <c r="D269" s="11">
        <v>1</v>
      </c>
      <c r="E269" s="11">
        <v>1</v>
      </c>
      <c r="F269" s="11">
        <v>1</v>
      </c>
      <c r="G269" s="11">
        <v>1</v>
      </c>
      <c r="H269" s="11">
        <v>1</v>
      </c>
      <c r="I269" s="11">
        <v>1</v>
      </c>
      <c r="J269" s="11">
        <v>1</v>
      </c>
      <c r="K269" s="11">
        <v>1</v>
      </c>
      <c r="L269" s="11">
        <v>1</v>
      </c>
      <c r="M269" s="11">
        <v>1</v>
      </c>
      <c r="N269" s="11">
        <v>0</v>
      </c>
      <c r="O269" s="11">
        <v>0</v>
      </c>
      <c r="P269" s="11">
        <v>0</v>
      </c>
      <c r="Q269" s="11">
        <v>1</v>
      </c>
      <c r="R269" s="11">
        <v>0</v>
      </c>
      <c r="S269" s="11">
        <v>0</v>
      </c>
      <c r="T269" s="11">
        <v>1</v>
      </c>
      <c r="U269" s="11">
        <v>1</v>
      </c>
      <c r="V269" s="11">
        <v>1</v>
      </c>
      <c r="W269" s="11">
        <v>0</v>
      </c>
      <c r="X269" s="11">
        <v>0</v>
      </c>
      <c r="Y269" s="11">
        <v>1</v>
      </c>
      <c r="Z269" s="11">
        <v>1</v>
      </c>
      <c r="AA269" s="11">
        <v>1</v>
      </c>
      <c r="AB269" s="11">
        <v>0</v>
      </c>
      <c r="AC269" s="11">
        <v>1</v>
      </c>
      <c r="AD269" s="11">
        <v>0</v>
      </c>
      <c r="AE269" s="11">
        <v>0</v>
      </c>
      <c r="AF269" s="11">
        <v>1</v>
      </c>
      <c r="AG269" s="11">
        <v>1</v>
      </c>
      <c r="AH269" s="11">
        <v>0</v>
      </c>
      <c r="AI269" s="11">
        <v>0</v>
      </c>
      <c r="AJ269" s="11">
        <v>1</v>
      </c>
      <c r="AK269" s="11">
        <v>0</v>
      </c>
      <c r="AL269" s="11">
        <v>1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1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1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5">
        <f t="shared" si="46"/>
        <v>70.142031361509225</v>
      </c>
      <c r="BH269" s="3">
        <f t="shared" si="47"/>
        <v>17.912768358721809</v>
      </c>
      <c r="BI269" s="3">
        <f t="shared" si="48"/>
        <v>37.087231641278194</v>
      </c>
      <c r="BJ269" s="3">
        <f t="shared" si="40"/>
        <v>-0.72775897507669929</v>
      </c>
      <c r="BK269" s="3">
        <f t="shared" si="41"/>
        <v>-0.45609683602320777</v>
      </c>
      <c r="BL269" s="3">
        <f t="shared" si="42"/>
        <v>0.94333424358242735</v>
      </c>
      <c r="BM269" s="3">
        <f t="shared" si="43"/>
        <v>-0.28798078825361123</v>
      </c>
      <c r="BN269" s="3">
        <f t="shared" si="44"/>
        <v>47.120192117463887</v>
      </c>
      <c r="BO269" s="2" t="str">
        <f t="shared" si="45"/>
        <v>C</v>
      </c>
    </row>
    <row r="270" spans="1:67" x14ac:dyDescent="0.35">
      <c r="A270" s="15">
        <v>269</v>
      </c>
      <c r="B270" s="10" t="s">
        <v>264</v>
      </c>
      <c r="C270" s="11">
        <v>24</v>
      </c>
      <c r="D270" s="11">
        <v>1</v>
      </c>
      <c r="E270" s="11">
        <v>1</v>
      </c>
      <c r="F270" s="11">
        <v>1</v>
      </c>
      <c r="G270" s="11">
        <v>1</v>
      </c>
      <c r="H270" s="11">
        <v>1</v>
      </c>
      <c r="I270" s="11">
        <v>1</v>
      </c>
      <c r="J270" s="11">
        <v>1</v>
      </c>
      <c r="K270" s="11">
        <v>1</v>
      </c>
      <c r="L270" s="11">
        <v>1</v>
      </c>
      <c r="M270" s="11">
        <v>1</v>
      </c>
      <c r="N270" s="11">
        <v>1</v>
      </c>
      <c r="O270" s="11">
        <v>1</v>
      </c>
      <c r="P270" s="11">
        <v>0</v>
      </c>
      <c r="Q270" s="11">
        <v>1</v>
      </c>
      <c r="R270" s="11">
        <v>0</v>
      </c>
      <c r="S270" s="11">
        <v>0</v>
      </c>
      <c r="T270" s="11">
        <v>1</v>
      </c>
      <c r="U270" s="11">
        <v>0</v>
      </c>
      <c r="V270" s="11">
        <v>0</v>
      </c>
      <c r="W270" s="11">
        <v>1</v>
      </c>
      <c r="X270" s="11">
        <v>0</v>
      </c>
      <c r="Y270" s="11">
        <v>1</v>
      </c>
      <c r="Z270" s="11">
        <v>1</v>
      </c>
      <c r="AA270" s="11">
        <v>1</v>
      </c>
      <c r="AB270" s="11">
        <v>0</v>
      </c>
      <c r="AC270" s="11">
        <v>1</v>
      </c>
      <c r="AD270" s="11">
        <v>0</v>
      </c>
      <c r="AE270" s="11">
        <v>0</v>
      </c>
      <c r="AF270" s="11">
        <v>1</v>
      </c>
      <c r="AG270" s="11">
        <v>1</v>
      </c>
      <c r="AH270" s="11">
        <v>1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1</v>
      </c>
      <c r="BB270" s="11">
        <v>1</v>
      </c>
      <c r="BC270" s="11">
        <v>0</v>
      </c>
      <c r="BD270" s="11">
        <v>0</v>
      </c>
      <c r="BE270" s="11">
        <v>0</v>
      </c>
      <c r="BF270" s="11">
        <v>0</v>
      </c>
      <c r="BG270" s="5">
        <f t="shared" si="46"/>
        <v>69.376871448659898</v>
      </c>
      <c r="BH270" s="3">
        <f t="shared" si="47"/>
        <v>17.717362950435174</v>
      </c>
      <c r="BI270" s="3">
        <f t="shared" si="48"/>
        <v>37.282637049564826</v>
      </c>
      <c r="BJ270" s="3">
        <f t="shared" si="40"/>
        <v>-0.74398260721681408</v>
      </c>
      <c r="BK270" s="3">
        <f t="shared" si="41"/>
        <v>-0.45609683602320777</v>
      </c>
      <c r="BL270" s="3">
        <f t="shared" si="42"/>
        <v>0.94333424358242735</v>
      </c>
      <c r="BM270" s="3">
        <f t="shared" si="43"/>
        <v>-0.30517896827356211</v>
      </c>
      <c r="BN270" s="3">
        <f t="shared" si="44"/>
        <v>46.948210317264376</v>
      </c>
      <c r="BO270" s="2" t="str">
        <f t="shared" si="45"/>
        <v>C</v>
      </c>
    </row>
    <row r="271" spans="1:67" x14ac:dyDescent="0.35">
      <c r="A271" s="15">
        <v>270</v>
      </c>
      <c r="B271" s="10" t="s">
        <v>265</v>
      </c>
      <c r="C271" s="11">
        <v>23</v>
      </c>
      <c r="D271" s="11">
        <v>1</v>
      </c>
      <c r="E271" s="11">
        <v>1</v>
      </c>
      <c r="F271" s="11">
        <v>1</v>
      </c>
      <c r="G271" s="11">
        <v>1</v>
      </c>
      <c r="H271" s="11">
        <v>1</v>
      </c>
      <c r="I271" s="11">
        <v>1</v>
      </c>
      <c r="J271" s="11">
        <v>1</v>
      </c>
      <c r="K271" s="11">
        <v>1</v>
      </c>
      <c r="L271" s="11">
        <v>1</v>
      </c>
      <c r="M271" s="11">
        <v>1</v>
      </c>
      <c r="N271" s="11">
        <v>0</v>
      </c>
      <c r="O271" s="11">
        <v>1</v>
      </c>
      <c r="P271" s="11">
        <v>1</v>
      </c>
      <c r="Q271" s="11">
        <v>1</v>
      </c>
      <c r="R271" s="11">
        <v>0</v>
      </c>
      <c r="S271" s="11">
        <v>0</v>
      </c>
      <c r="T271" s="11">
        <v>1</v>
      </c>
      <c r="U271" s="11">
        <v>0</v>
      </c>
      <c r="V271" s="11">
        <v>0</v>
      </c>
      <c r="W271" s="11">
        <v>1</v>
      </c>
      <c r="X271" s="11">
        <v>1</v>
      </c>
      <c r="Y271" s="11">
        <v>0</v>
      </c>
      <c r="Z271" s="11">
        <v>1</v>
      </c>
      <c r="AA271" s="11">
        <v>1</v>
      </c>
      <c r="AB271" s="11">
        <v>0</v>
      </c>
      <c r="AC271" s="11">
        <v>0</v>
      </c>
      <c r="AD271" s="11">
        <v>1</v>
      </c>
      <c r="AE271" s="11">
        <v>0</v>
      </c>
      <c r="AF271" s="11">
        <v>1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1</v>
      </c>
      <c r="AR271" s="11">
        <v>0</v>
      </c>
      <c r="AS271" s="11">
        <v>1</v>
      </c>
      <c r="AT271" s="11">
        <v>1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5">
        <f t="shared" si="46"/>
        <v>69.282785526686808</v>
      </c>
      <c r="BH271" s="3">
        <f t="shared" si="47"/>
        <v>17.693335426660813</v>
      </c>
      <c r="BI271" s="3">
        <f t="shared" si="48"/>
        <v>37.306664573339191</v>
      </c>
      <c r="BJ271" s="3">
        <f t="shared" si="40"/>
        <v>-0.74598394647022215</v>
      </c>
      <c r="BK271" s="3">
        <f t="shared" si="41"/>
        <v>-0.45609683602320777</v>
      </c>
      <c r="BL271" s="3">
        <f t="shared" si="42"/>
        <v>0.94333424358242735</v>
      </c>
      <c r="BM271" s="3">
        <f t="shared" si="43"/>
        <v>-0.30730052727242524</v>
      </c>
      <c r="BN271" s="3">
        <f t="shared" si="44"/>
        <v>46.926994727275748</v>
      </c>
      <c r="BO271" s="2" t="str">
        <f t="shared" si="45"/>
        <v>C</v>
      </c>
    </row>
    <row r="272" spans="1:67" x14ac:dyDescent="0.35">
      <c r="A272" s="1">
        <v>271</v>
      </c>
      <c r="B272" s="12">
        <v>8427770</v>
      </c>
      <c r="C272" s="11">
        <v>24</v>
      </c>
      <c r="D272" s="11">
        <v>1</v>
      </c>
      <c r="E272" s="11">
        <v>1</v>
      </c>
      <c r="F272" s="11">
        <v>1</v>
      </c>
      <c r="G272" s="11">
        <v>1</v>
      </c>
      <c r="H272" s="11">
        <v>1</v>
      </c>
      <c r="I272" s="11">
        <v>0</v>
      </c>
      <c r="J272" s="11">
        <v>1</v>
      </c>
      <c r="K272" s="11">
        <v>1</v>
      </c>
      <c r="L272" s="11">
        <v>0</v>
      </c>
      <c r="M272" s="11">
        <v>1</v>
      </c>
      <c r="N272" s="11">
        <v>1</v>
      </c>
      <c r="O272" s="11">
        <v>1</v>
      </c>
      <c r="P272" s="11">
        <v>1</v>
      </c>
      <c r="Q272" s="11">
        <v>1</v>
      </c>
      <c r="R272" s="11">
        <v>0</v>
      </c>
      <c r="S272" s="11">
        <v>1</v>
      </c>
      <c r="T272" s="11">
        <v>1</v>
      </c>
      <c r="U272" s="11">
        <v>0</v>
      </c>
      <c r="V272" s="11">
        <v>1</v>
      </c>
      <c r="W272" s="11">
        <v>1</v>
      </c>
      <c r="X272" s="11">
        <v>1</v>
      </c>
      <c r="Y272" s="11">
        <v>0</v>
      </c>
      <c r="Z272" s="11">
        <v>1</v>
      </c>
      <c r="AA272" s="11">
        <v>1</v>
      </c>
      <c r="AB272" s="11">
        <v>0</v>
      </c>
      <c r="AC272" s="11">
        <v>0</v>
      </c>
      <c r="AD272" s="11">
        <v>0</v>
      </c>
      <c r="AE272" s="11">
        <v>1</v>
      </c>
      <c r="AF272" s="11">
        <v>1</v>
      </c>
      <c r="AG272" s="11">
        <v>1</v>
      </c>
      <c r="AH272" s="11">
        <v>1</v>
      </c>
      <c r="AI272" s="11">
        <v>0</v>
      </c>
      <c r="AJ272" s="11">
        <v>0</v>
      </c>
      <c r="AK272" s="11">
        <v>1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5">
        <f t="shared" si="46"/>
        <v>69.253638578484598</v>
      </c>
      <c r="BH272" s="3">
        <f t="shared" si="47"/>
        <v>17.685891922083378</v>
      </c>
      <c r="BI272" s="3">
        <f t="shared" si="48"/>
        <v>37.314108077916622</v>
      </c>
      <c r="BJ272" s="3">
        <f t="shared" si="40"/>
        <v>-0.74660423258536912</v>
      </c>
      <c r="BK272" s="3">
        <f t="shared" si="41"/>
        <v>-0.45609683602320777</v>
      </c>
      <c r="BL272" s="3">
        <f t="shared" si="42"/>
        <v>0.94333424358242735</v>
      </c>
      <c r="BM272" s="3">
        <f t="shared" si="43"/>
        <v>-0.30795807375647039</v>
      </c>
      <c r="BN272" s="3">
        <f t="shared" si="44"/>
        <v>46.920419262435296</v>
      </c>
      <c r="BO272" s="2" t="str">
        <f t="shared" si="45"/>
        <v>C</v>
      </c>
    </row>
    <row r="273" spans="1:67" x14ac:dyDescent="0.35">
      <c r="A273" s="15">
        <v>272</v>
      </c>
      <c r="B273" s="12">
        <v>1155880</v>
      </c>
      <c r="C273" s="11">
        <v>24</v>
      </c>
      <c r="D273" s="11">
        <v>1</v>
      </c>
      <c r="E273" s="11">
        <v>1</v>
      </c>
      <c r="F273" s="11">
        <v>1</v>
      </c>
      <c r="G273" s="11">
        <v>1</v>
      </c>
      <c r="H273" s="11">
        <v>1</v>
      </c>
      <c r="I273" s="11">
        <v>0</v>
      </c>
      <c r="J273" s="11">
        <v>1</v>
      </c>
      <c r="K273" s="11">
        <v>1</v>
      </c>
      <c r="L273" s="11">
        <v>0</v>
      </c>
      <c r="M273" s="11">
        <v>1</v>
      </c>
      <c r="N273" s="11">
        <v>1</v>
      </c>
      <c r="O273" s="11">
        <v>1</v>
      </c>
      <c r="P273" s="11">
        <v>1</v>
      </c>
      <c r="Q273" s="11">
        <v>1</v>
      </c>
      <c r="R273" s="11">
        <v>0</v>
      </c>
      <c r="S273" s="11">
        <v>1</v>
      </c>
      <c r="T273" s="11">
        <v>1</v>
      </c>
      <c r="U273" s="11">
        <v>1</v>
      </c>
      <c r="V273" s="11">
        <v>1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1</v>
      </c>
      <c r="AD273" s="11">
        <v>0</v>
      </c>
      <c r="AE273" s="11">
        <v>1</v>
      </c>
      <c r="AF273" s="11">
        <v>1</v>
      </c>
      <c r="AG273" s="11">
        <v>1</v>
      </c>
      <c r="AH273" s="11">
        <v>1</v>
      </c>
      <c r="AI273" s="11">
        <v>1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1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1</v>
      </c>
      <c r="BD273" s="11">
        <v>0</v>
      </c>
      <c r="BE273" s="11">
        <v>0</v>
      </c>
      <c r="BF273" s="11">
        <v>0</v>
      </c>
      <c r="BG273" s="5">
        <f t="shared" si="46"/>
        <v>69.228048534853428</v>
      </c>
      <c r="BH273" s="3">
        <f t="shared" si="47"/>
        <v>17.679356774541212</v>
      </c>
      <c r="BI273" s="3">
        <f t="shared" si="48"/>
        <v>37.320643225458788</v>
      </c>
      <c r="BJ273" s="3">
        <f t="shared" si="40"/>
        <v>-0.74714893622227974</v>
      </c>
      <c r="BK273" s="3">
        <f t="shared" si="41"/>
        <v>-0.45609683602320777</v>
      </c>
      <c r="BL273" s="3">
        <f t="shared" si="42"/>
        <v>0.94333424358242735</v>
      </c>
      <c r="BM273" s="3">
        <f t="shared" si="43"/>
        <v>-0.3085354975493797</v>
      </c>
      <c r="BN273" s="3">
        <f t="shared" si="44"/>
        <v>46.9146450245062</v>
      </c>
      <c r="BO273" s="2" t="str">
        <f t="shared" si="45"/>
        <v>C</v>
      </c>
    </row>
    <row r="274" spans="1:67" x14ac:dyDescent="0.35">
      <c r="A274" s="15">
        <v>273</v>
      </c>
      <c r="B274" s="12">
        <v>1122334</v>
      </c>
      <c r="C274" s="11">
        <v>24</v>
      </c>
      <c r="D274" s="11">
        <v>0</v>
      </c>
      <c r="E274" s="11">
        <v>1</v>
      </c>
      <c r="F274" s="11">
        <v>1</v>
      </c>
      <c r="G274" s="11">
        <v>1</v>
      </c>
      <c r="H274" s="11">
        <v>1</v>
      </c>
      <c r="I274" s="11">
        <v>1</v>
      </c>
      <c r="J274" s="11">
        <v>1</v>
      </c>
      <c r="K274" s="11">
        <v>1</v>
      </c>
      <c r="L274" s="11">
        <v>1</v>
      </c>
      <c r="M274" s="11">
        <v>1</v>
      </c>
      <c r="N274" s="11">
        <v>1</v>
      </c>
      <c r="O274" s="11">
        <v>1</v>
      </c>
      <c r="P274" s="11">
        <v>0</v>
      </c>
      <c r="Q274" s="11">
        <v>1</v>
      </c>
      <c r="R274" s="11">
        <v>0</v>
      </c>
      <c r="S274" s="11">
        <v>1</v>
      </c>
      <c r="T274" s="11">
        <v>1</v>
      </c>
      <c r="U274" s="11">
        <v>1</v>
      </c>
      <c r="V274" s="11">
        <v>1</v>
      </c>
      <c r="W274" s="11">
        <v>0</v>
      </c>
      <c r="X274" s="11">
        <v>0</v>
      </c>
      <c r="Y274" s="11">
        <v>1</v>
      </c>
      <c r="Z274" s="11">
        <v>1</v>
      </c>
      <c r="AA274" s="11">
        <v>0</v>
      </c>
      <c r="AB274" s="11">
        <v>0</v>
      </c>
      <c r="AC274" s="11">
        <v>0</v>
      </c>
      <c r="AD274" s="11">
        <v>0</v>
      </c>
      <c r="AE274" s="11">
        <v>1</v>
      </c>
      <c r="AF274" s="11">
        <v>0</v>
      </c>
      <c r="AG274" s="11">
        <v>1</v>
      </c>
      <c r="AH274" s="11">
        <v>1</v>
      </c>
      <c r="AI274" s="11">
        <v>0</v>
      </c>
      <c r="AJ274" s="11">
        <v>0</v>
      </c>
      <c r="AK274" s="11">
        <v>1</v>
      </c>
      <c r="AL274" s="11">
        <v>0</v>
      </c>
      <c r="AM274" s="11">
        <v>1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1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5">
        <f t="shared" si="46"/>
        <v>69.020889853876767</v>
      </c>
      <c r="BH274" s="3">
        <f t="shared" si="47"/>
        <v>17.626452896598071</v>
      </c>
      <c r="BI274" s="3">
        <f t="shared" si="48"/>
        <v>37.373547103401933</v>
      </c>
      <c r="BJ274" s="3">
        <f t="shared" si="40"/>
        <v>-0.751562378317298</v>
      </c>
      <c r="BK274" s="3">
        <f t="shared" si="41"/>
        <v>-0.45609683602320777</v>
      </c>
      <c r="BL274" s="3">
        <f t="shared" si="42"/>
        <v>0.94333424358242735</v>
      </c>
      <c r="BM274" s="3">
        <f t="shared" si="43"/>
        <v>-0.31321405355966264</v>
      </c>
      <c r="BN274" s="3">
        <f t="shared" si="44"/>
        <v>46.867859464403374</v>
      </c>
      <c r="BO274" s="2" t="str">
        <f t="shared" si="45"/>
        <v>C</v>
      </c>
    </row>
    <row r="275" spans="1:67" x14ac:dyDescent="0.35">
      <c r="A275" s="1">
        <v>274</v>
      </c>
      <c r="B275" s="10" t="s">
        <v>266</v>
      </c>
      <c r="C275" s="11">
        <v>24</v>
      </c>
      <c r="D275" s="11">
        <v>1</v>
      </c>
      <c r="E275" s="11">
        <v>1</v>
      </c>
      <c r="F275" s="11">
        <v>1</v>
      </c>
      <c r="G275" s="11">
        <v>1</v>
      </c>
      <c r="H275" s="11">
        <v>1</v>
      </c>
      <c r="I275" s="11">
        <v>1</v>
      </c>
      <c r="J275" s="11">
        <v>1</v>
      </c>
      <c r="K275" s="11">
        <v>1</v>
      </c>
      <c r="L275" s="11">
        <v>1</v>
      </c>
      <c r="M275" s="11">
        <v>1</v>
      </c>
      <c r="N275" s="11">
        <v>1</v>
      </c>
      <c r="O275" s="11">
        <v>1</v>
      </c>
      <c r="P275" s="11">
        <v>1</v>
      </c>
      <c r="Q275" s="11">
        <v>1</v>
      </c>
      <c r="R275" s="11">
        <v>1</v>
      </c>
      <c r="S275" s="11">
        <v>1</v>
      </c>
      <c r="T275" s="11">
        <v>1</v>
      </c>
      <c r="U275" s="11">
        <v>1</v>
      </c>
      <c r="V275" s="11">
        <v>0</v>
      </c>
      <c r="W275" s="11">
        <v>1</v>
      </c>
      <c r="X275" s="11">
        <v>0</v>
      </c>
      <c r="Y275" s="11">
        <v>0</v>
      </c>
      <c r="Z275" s="11">
        <v>0</v>
      </c>
      <c r="AA275" s="11">
        <v>1</v>
      </c>
      <c r="AB275" s="11">
        <v>1</v>
      </c>
      <c r="AC275" s="11">
        <v>1</v>
      </c>
      <c r="AD275" s="11">
        <v>0</v>
      </c>
      <c r="AE275" s="11">
        <v>0</v>
      </c>
      <c r="AF275" s="11">
        <v>0</v>
      </c>
      <c r="AG275" s="11">
        <v>1</v>
      </c>
      <c r="AH275" s="11">
        <v>0</v>
      </c>
      <c r="AI275" s="11">
        <v>0</v>
      </c>
      <c r="AJ275" s="11">
        <v>1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5">
        <f t="shared" si="46"/>
        <v>69.010359418471069</v>
      </c>
      <c r="BH275" s="3">
        <f t="shared" si="47"/>
        <v>17.623763649559208</v>
      </c>
      <c r="BI275" s="3">
        <f t="shared" si="48"/>
        <v>37.376236350440792</v>
      </c>
      <c r="BJ275" s="3">
        <f t="shared" si="40"/>
        <v>-0.75178691207904969</v>
      </c>
      <c r="BK275" s="3">
        <f t="shared" si="41"/>
        <v>-0.45609683602320777</v>
      </c>
      <c r="BL275" s="3">
        <f t="shared" si="42"/>
        <v>0.94333424358242735</v>
      </c>
      <c r="BM275" s="3">
        <f t="shared" si="43"/>
        <v>-0.31345207498555616</v>
      </c>
      <c r="BN275" s="3">
        <f t="shared" si="44"/>
        <v>46.865479250144439</v>
      </c>
      <c r="BO275" s="2" t="str">
        <f t="shared" si="45"/>
        <v>C</v>
      </c>
    </row>
    <row r="276" spans="1:67" x14ac:dyDescent="0.35">
      <c r="A276" s="15">
        <v>275</v>
      </c>
      <c r="B276" s="12">
        <v>2408004</v>
      </c>
      <c r="C276" s="11">
        <v>22</v>
      </c>
      <c r="D276" s="11">
        <v>1</v>
      </c>
      <c r="E276" s="11">
        <v>1</v>
      </c>
      <c r="F276" s="11">
        <v>0</v>
      </c>
      <c r="G276" s="11">
        <v>0</v>
      </c>
      <c r="H276" s="11">
        <v>1</v>
      </c>
      <c r="I276" s="11">
        <v>0</v>
      </c>
      <c r="J276" s="11">
        <v>1</v>
      </c>
      <c r="K276" s="11">
        <v>0</v>
      </c>
      <c r="L276" s="11">
        <v>0</v>
      </c>
      <c r="M276" s="11">
        <v>1</v>
      </c>
      <c r="N276" s="11">
        <v>0</v>
      </c>
      <c r="O276" s="11">
        <v>1</v>
      </c>
      <c r="P276" s="11">
        <v>0</v>
      </c>
      <c r="Q276" s="11">
        <v>1</v>
      </c>
      <c r="R276" s="11">
        <v>0</v>
      </c>
      <c r="S276" s="11">
        <v>1</v>
      </c>
      <c r="T276" s="11">
        <v>1</v>
      </c>
      <c r="U276" s="11">
        <v>0</v>
      </c>
      <c r="V276" s="11">
        <v>1</v>
      </c>
      <c r="W276" s="11">
        <v>0</v>
      </c>
      <c r="X276" s="11">
        <v>0</v>
      </c>
      <c r="Y276" s="11">
        <v>1</v>
      </c>
      <c r="Z276" s="11">
        <v>1</v>
      </c>
      <c r="AA276" s="11">
        <v>1</v>
      </c>
      <c r="AB276" s="11">
        <v>0</v>
      </c>
      <c r="AC276" s="11">
        <v>1</v>
      </c>
      <c r="AD276" s="11">
        <v>0</v>
      </c>
      <c r="AE276" s="11">
        <v>1</v>
      </c>
      <c r="AF276" s="11">
        <v>1</v>
      </c>
      <c r="AG276" s="11">
        <v>1</v>
      </c>
      <c r="AH276" s="11">
        <v>1</v>
      </c>
      <c r="AI276" s="11">
        <v>0</v>
      </c>
      <c r="AJ276" s="11">
        <v>0</v>
      </c>
      <c r="AK276" s="11">
        <v>0</v>
      </c>
      <c r="AL276" s="11">
        <v>1</v>
      </c>
      <c r="AM276" s="11">
        <v>1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1</v>
      </c>
      <c r="BB276" s="11">
        <v>1</v>
      </c>
      <c r="BC276" s="11">
        <v>0</v>
      </c>
      <c r="BD276" s="11">
        <v>0</v>
      </c>
      <c r="BE276" s="11">
        <v>0</v>
      </c>
      <c r="BF276" s="11">
        <v>0</v>
      </c>
      <c r="BG276" s="5">
        <f t="shared" si="46"/>
        <v>68.939055554607165</v>
      </c>
      <c r="BH276" s="3">
        <f t="shared" si="47"/>
        <v>17.605554174132227</v>
      </c>
      <c r="BI276" s="3">
        <f t="shared" si="48"/>
        <v>37.394445825867777</v>
      </c>
      <c r="BJ276" s="3">
        <f t="shared" si="40"/>
        <v>-0.75330775572692887</v>
      </c>
      <c r="BK276" s="3">
        <f t="shared" si="41"/>
        <v>-0.45609683602320777</v>
      </c>
      <c r="BL276" s="3">
        <f t="shared" si="42"/>
        <v>0.94333424358242735</v>
      </c>
      <c r="BM276" s="3">
        <f t="shared" si="43"/>
        <v>-0.31506427517676683</v>
      </c>
      <c r="BN276" s="3">
        <f t="shared" si="44"/>
        <v>46.84935724823233</v>
      </c>
      <c r="BO276" s="2" t="str">
        <f t="shared" si="45"/>
        <v>C</v>
      </c>
    </row>
    <row r="277" spans="1:67" x14ac:dyDescent="0.35">
      <c r="A277" s="15">
        <v>276</v>
      </c>
      <c r="B277" s="10" t="s">
        <v>267</v>
      </c>
      <c r="C277" s="11">
        <v>23</v>
      </c>
      <c r="D277" s="11">
        <v>1</v>
      </c>
      <c r="E277" s="11">
        <v>1</v>
      </c>
      <c r="F277" s="11">
        <v>1</v>
      </c>
      <c r="G277" s="11">
        <v>1</v>
      </c>
      <c r="H277" s="11">
        <v>1</v>
      </c>
      <c r="I277" s="11">
        <v>0</v>
      </c>
      <c r="J277" s="11">
        <v>1</v>
      </c>
      <c r="K277" s="11">
        <v>1</v>
      </c>
      <c r="L277" s="11">
        <v>1</v>
      </c>
      <c r="M277" s="11">
        <v>1</v>
      </c>
      <c r="N277" s="11">
        <v>0</v>
      </c>
      <c r="O277" s="11">
        <v>1</v>
      </c>
      <c r="P277" s="11">
        <v>1</v>
      </c>
      <c r="Q277" s="11">
        <v>1</v>
      </c>
      <c r="R277" s="11">
        <v>1</v>
      </c>
      <c r="S277" s="11">
        <v>1</v>
      </c>
      <c r="T277" s="11">
        <v>1</v>
      </c>
      <c r="U277" s="11">
        <v>1</v>
      </c>
      <c r="V277" s="11">
        <v>0</v>
      </c>
      <c r="W277" s="11">
        <v>1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1</v>
      </c>
      <c r="AD277" s="11">
        <v>0</v>
      </c>
      <c r="AE277" s="11">
        <v>1</v>
      </c>
      <c r="AF277" s="11">
        <v>0</v>
      </c>
      <c r="AG277" s="11">
        <v>1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1</v>
      </c>
      <c r="AQ277" s="11">
        <v>0</v>
      </c>
      <c r="AR277" s="11">
        <v>0</v>
      </c>
      <c r="AS277" s="11">
        <v>0</v>
      </c>
      <c r="AT277" s="11">
        <v>1</v>
      </c>
      <c r="AU277" s="11">
        <v>0</v>
      </c>
      <c r="AV277" s="11">
        <v>0</v>
      </c>
      <c r="AW277" s="11">
        <v>1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5">
        <f t="shared" si="46"/>
        <v>68.176557466852216</v>
      </c>
      <c r="BH277" s="3">
        <f t="shared" si="47"/>
        <v>17.410828538806275</v>
      </c>
      <c r="BI277" s="3">
        <f t="shared" si="48"/>
        <v>37.589171461193729</v>
      </c>
      <c r="BJ277" s="3">
        <f t="shared" si="40"/>
        <v>-0.76962367339448756</v>
      </c>
      <c r="BK277" s="3">
        <f t="shared" si="41"/>
        <v>-0.45609683602320777</v>
      </c>
      <c r="BL277" s="3">
        <f t="shared" si="42"/>
        <v>0.94333424358242735</v>
      </c>
      <c r="BM277" s="3">
        <f t="shared" si="43"/>
        <v>-0.33236028428335562</v>
      </c>
      <c r="BN277" s="3">
        <f t="shared" si="44"/>
        <v>46.676397157166441</v>
      </c>
      <c r="BO277" s="2" t="str">
        <f t="shared" si="45"/>
        <v>C</v>
      </c>
    </row>
    <row r="278" spans="1:67" x14ac:dyDescent="0.35">
      <c r="A278" s="1">
        <v>277</v>
      </c>
      <c r="B278" s="12">
        <v>3005008</v>
      </c>
      <c r="C278" s="11">
        <v>24</v>
      </c>
      <c r="D278" s="11">
        <v>1</v>
      </c>
      <c r="E278" s="11">
        <v>1</v>
      </c>
      <c r="F278" s="11">
        <v>1</v>
      </c>
      <c r="G278" s="11">
        <v>1</v>
      </c>
      <c r="H278" s="11">
        <v>1</v>
      </c>
      <c r="I278" s="11">
        <v>1</v>
      </c>
      <c r="J278" s="11">
        <v>1</v>
      </c>
      <c r="K278" s="11">
        <v>1</v>
      </c>
      <c r="L278" s="11">
        <v>0</v>
      </c>
      <c r="M278" s="11">
        <v>1</v>
      </c>
      <c r="N278" s="11">
        <v>0</v>
      </c>
      <c r="O278" s="11">
        <v>1</v>
      </c>
      <c r="P278" s="11">
        <v>1</v>
      </c>
      <c r="Q278" s="11">
        <v>1</v>
      </c>
      <c r="R278" s="11">
        <v>0</v>
      </c>
      <c r="S278" s="11">
        <v>1</v>
      </c>
      <c r="T278" s="11">
        <v>1</v>
      </c>
      <c r="U278" s="11">
        <v>1</v>
      </c>
      <c r="V278" s="11">
        <v>1</v>
      </c>
      <c r="W278" s="11">
        <v>1</v>
      </c>
      <c r="X278" s="11">
        <v>0</v>
      </c>
      <c r="Y278" s="11">
        <v>0</v>
      </c>
      <c r="Z278" s="11">
        <v>1</v>
      </c>
      <c r="AA278" s="11">
        <v>0</v>
      </c>
      <c r="AB278" s="11">
        <v>0</v>
      </c>
      <c r="AC278" s="11">
        <v>1</v>
      </c>
      <c r="AD278" s="11">
        <v>1</v>
      </c>
      <c r="AE278" s="11">
        <v>1</v>
      </c>
      <c r="AF278" s="11">
        <v>0</v>
      </c>
      <c r="AG278" s="11">
        <v>1</v>
      </c>
      <c r="AH278" s="11">
        <v>1</v>
      </c>
      <c r="AI278" s="11">
        <v>0</v>
      </c>
      <c r="AJ278" s="11">
        <v>0</v>
      </c>
      <c r="AK278" s="11">
        <v>0</v>
      </c>
      <c r="AL278" s="11">
        <v>1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5">
        <f t="shared" si="46"/>
        <v>68.091872681723871</v>
      </c>
      <c r="BH278" s="3">
        <f t="shared" si="47"/>
        <v>17.389201863472422</v>
      </c>
      <c r="BI278" s="3">
        <f t="shared" si="48"/>
        <v>37.610798136527578</v>
      </c>
      <c r="BJ278" s="3">
        <f t="shared" si="40"/>
        <v>-0.77144176262802844</v>
      </c>
      <c r="BK278" s="3">
        <f t="shared" si="41"/>
        <v>-0.45609683602320777</v>
      </c>
      <c r="BL278" s="3">
        <f t="shared" si="42"/>
        <v>0.94333424358242735</v>
      </c>
      <c r="BM278" s="3">
        <f t="shared" si="43"/>
        <v>-0.33428758549807297</v>
      </c>
      <c r="BN278" s="3">
        <f t="shared" si="44"/>
        <v>46.657124145019267</v>
      </c>
      <c r="BO278" s="2" t="str">
        <f t="shared" si="45"/>
        <v>C</v>
      </c>
    </row>
    <row r="279" spans="1:67" x14ac:dyDescent="0.35">
      <c r="A279" s="15">
        <v>278</v>
      </c>
      <c r="B279" s="10" t="s">
        <v>268</v>
      </c>
      <c r="C279" s="11">
        <v>23</v>
      </c>
      <c r="D279" s="11">
        <v>1</v>
      </c>
      <c r="E279" s="11">
        <v>1</v>
      </c>
      <c r="F279" s="11">
        <v>1</v>
      </c>
      <c r="G279" s="11">
        <v>1</v>
      </c>
      <c r="H279" s="11">
        <v>1</v>
      </c>
      <c r="I279" s="11">
        <v>0</v>
      </c>
      <c r="J279" s="11">
        <v>1</v>
      </c>
      <c r="K279" s="11">
        <v>1</v>
      </c>
      <c r="L279" s="11">
        <v>1</v>
      </c>
      <c r="M279" s="11">
        <v>1</v>
      </c>
      <c r="N279" s="11">
        <v>0</v>
      </c>
      <c r="O279" s="11">
        <v>1</v>
      </c>
      <c r="P279" s="11">
        <v>1</v>
      </c>
      <c r="Q279" s="11">
        <v>1</v>
      </c>
      <c r="R279" s="11">
        <v>1</v>
      </c>
      <c r="S279" s="11">
        <v>0</v>
      </c>
      <c r="T279" s="11">
        <v>1</v>
      </c>
      <c r="U279" s="11">
        <v>1</v>
      </c>
      <c r="V279" s="11">
        <v>1</v>
      </c>
      <c r="W279" s="11">
        <v>1</v>
      </c>
      <c r="X279" s="11">
        <v>0</v>
      </c>
      <c r="Y279" s="11">
        <v>0</v>
      </c>
      <c r="Z279" s="11">
        <v>1</v>
      </c>
      <c r="AA279" s="11">
        <v>1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1</v>
      </c>
      <c r="AL279" s="11">
        <v>1</v>
      </c>
      <c r="AM279" s="11">
        <v>1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1</v>
      </c>
      <c r="AU279" s="11">
        <v>0</v>
      </c>
      <c r="AV279" s="11">
        <v>0</v>
      </c>
      <c r="AW279" s="11">
        <v>0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5">
        <f t="shared" si="46"/>
        <v>67.490609097901086</v>
      </c>
      <c r="BH279" s="3">
        <f t="shared" si="47"/>
        <v>17.235652057592937</v>
      </c>
      <c r="BI279" s="3">
        <f t="shared" si="48"/>
        <v>37.764347942407063</v>
      </c>
      <c r="BJ279" s="3">
        <f t="shared" si="40"/>
        <v>-0.78438544883637473</v>
      </c>
      <c r="BK279" s="3">
        <f t="shared" si="41"/>
        <v>-0.45609683602320777</v>
      </c>
      <c r="BL279" s="3">
        <f t="shared" si="42"/>
        <v>0.94333424358242735</v>
      </c>
      <c r="BM279" s="3">
        <f t="shared" si="43"/>
        <v>-0.34800879438707827</v>
      </c>
      <c r="BN279" s="3">
        <f t="shared" si="44"/>
        <v>46.519912056129215</v>
      </c>
      <c r="BO279" s="2" t="str">
        <f t="shared" si="45"/>
        <v>C</v>
      </c>
    </row>
    <row r="280" spans="1:67" x14ac:dyDescent="0.35">
      <c r="A280" s="15">
        <v>279</v>
      </c>
      <c r="B280" s="10" t="s">
        <v>269</v>
      </c>
      <c r="C280" s="11">
        <v>23</v>
      </c>
      <c r="D280" s="11">
        <v>1</v>
      </c>
      <c r="E280" s="11">
        <v>1</v>
      </c>
      <c r="F280" s="11">
        <v>1</v>
      </c>
      <c r="G280" s="11">
        <v>1</v>
      </c>
      <c r="H280" s="11">
        <v>1</v>
      </c>
      <c r="I280" s="11">
        <v>1</v>
      </c>
      <c r="J280" s="11">
        <v>1</v>
      </c>
      <c r="K280" s="11">
        <v>1</v>
      </c>
      <c r="L280" s="11">
        <v>1</v>
      </c>
      <c r="M280" s="11">
        <v>1</v>
      </c>
      <c r="N280" s="11">
        <v>1</v>
      </c>
      <c r="O280" s="11">
        <v>1</v>
      </c>
      <c r="P280" s="11">
        <v>0</v>
      </c>
      <c r="Q280" s="11">
        <v>1</v>
      </c>
      <c r="R280" s="11">
        <v>0</v>
      </c>
      <c r="S280" s="11">
        <v>0</v>
      </c>
      <c r="T280" s="11">
        <v>1</v>
      </c>
      <c r="U280" s="11">
        <v>1</v>
      </c>
      <c r="V280" s="11">
        <v>0</v>
      </c>
      <c r="W280" s="11">
        <v>0</v>
      </c>
      <c r="X280" s="11">
        <v>0</v>
      </c>
      <c r="Y280" s="11">
        <v>0</v>
      </c>
      <c r="Z280" s="11">
        <v>1</v>
      </c>
      <c r="AA280" s="11">
        <v>0</v>
      </c>
      <c r="AB280" s="11">
        <v>1</v>
      </c>
      <c r="AC280" s="11">
        <v>1</v>
      </c>
      <c r="AD280" s="11">
        <v>0</v>
      </c>
      <c r="AE280" s="11">
        <v>0</v>
      </c>
      <c r="AF280" s="11">
        <v>1</v>
      </c>
      <c r="AG280" s="11">
        <v>1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1</v>
      </c>
      <c r="AN280" s="11">
        <v>1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1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5">
        <f t="shared" si="46"/>
        <v>67.41748444307369</v>
      </c>
      <c r="BH280" s="3">
        <f t="shared" si="47"/>
        <v>17.216977591259283</v>
      </c>
      <c r="BI280" s="3">
        <f t="shared" si="48"/>
        <v>37.78302240874072</v>
      </c>
      <c r="BJ280" s="3">
        <f t="shared" si="40"/>
        <v>-0.78596389285873536</v>
      </c>
      <c r="BK280" s="3">
        <f t="shared" si="41"/>
        <v>-0.45609683602320777</v>
      </c>
      <c r="BL280" s="3">
        <f t="shared" si="42"/>
        <v>0.94333424358242735</v>
      </c>
      <c r="BM280" s="3">
        <f t="shared" si="43"/>
        <v>-0.34968205498701821</v>
      </c>
      <c r="BN280" s="3">
        <f t="shared" si="44"/>
        <v>46.503179450129821</v>
      </c>
      <c r="BO280" s="2" t="str">
        <f t="shared" si="45"/>
        <v>C</v>
      </c>
    </row>
    <row r="281" spans="1:67" x14ac:dyDescent="0.35">
      <c r="A281" s="1">
        <v>280</v>
      </c>
      <c r="B281" s="12">
        <v>2511009</v>
      </c>
      <c r="C281" s="11">
        <v>22</v>
      </c>
      <c r="D281" s="11">
        <v>0</v>
      </c>
      <c r="E281" s="11">
        <v>1</v>
      </c>
      <c r="F281" s="11">
        <v>1</v>
      </c>
      <c r="G281" s="11">
        <v>1</v>
      </c>
      <c r="H281" s="11">
        <v>1</v>
      </c>
      <c r="I281" s="11">
        <v>1</v>
      </c>
      <c r="J281" s="11">
        <v>1</v>
      </c>
      <c r="K281" s="11">
        <v>0</v>
      </c>
      <c r="L281" s="11">
        <v>0</v>
      </c>
      <c r="M281" s="11">
        <v>1</v>
      </c>
      <c r="N281" s="11">
        <v>0</v>
      </c>
      <c r="O281" s="11">
        <v>0</v>
      </c>
      <c r="P281" s="11">
        <v>0</v>
      </c>
      <c r="Q281" s="11">
        <v>1</v>
      </c>
      <c r="R281" s="11">
        <v>0</v>
      </c>
      <c r="S281" s="11">
        <v>1</v>
      </c>
      <c r="T281" s="11">
        <v>1</v>
      </c>
      <c r="U281" s="11">
        <v>0</v>
      </c>
      <c r="V281" s="11">
        <v>1</v>
      </c>
      <c r="W281" s="11">
        <v>1</v>
      </c>
      <c r="X281" s="11">
        <v>0</v>
      </c>
      <c r="Y281" s="11">
        <v>0</v>
      </c>
      <c r="Z281" s="11">
        <v>1</v>
      </c>
      <c r="AA281" s="11">
        <v>1</v>
      </c>
      <c r="AB281" s="11">
        <v>1</v>
      </c>
      <c r="AC281" s="11">
        <v>1</v>
      </c>
      <c r="AD281" s="11">
        <v>0</v>
      </c>
      <c r="AE281" s="11">
        <v>1</v>
      </c>
      <c r="AF281" s="11">
        <v>1</v>
      </c>
      <c r="AG281" s="11">
        <v>1</v>
      </c>
      <c r="AH281" s="11">
        <v>1</v>
      </c>
      <c r="AI281" s="11">
        <v>0</v>
      </c>
      <c r="AJ281" s="11">
        <v>0</v>
      </c>
      <c r="AK281" s="11">
        <v>0</v>
      </c>
      <c r="AL281" s="11">
        <v>0</v>
      </c>
      <c r="AM281" s="11">
        <v>1</v>
      </c>
      <c r="AN281" s="11">
        <v>0</v>
      </c>
      <c r="AO281" s="11">
        <v>0</v>
      </c>
      <c r="AP281" s="11">
        <v>0</v>
      </c>
      <c r="AQ281" s="11">
        <v>0</v>
      </c>
      <c r="AR281" s="11">
        <v>1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5">
        <f t="shared" si="46"/>
        <v>67.299390421234705</v>
      </c>
      <c r="BH281" s="3">
        <f t="shared" si="47"/>
        <v>17.186818914404761</v>
      </c>
      <c r="BI281" s="3">
        <f t="shared" si="48"/>
        <v>37.813181085595239</v>
      </c>
      <c r="BJ281" s="3">
        <f t="shared" si="40"/>
        <v>-0.78851499996651475</v>
      </c>
      <c r="BK281" s="3">
        <f t="shared" si="41"/>
        <v>-0.45609683602320777</v>
      </c>
      <c r="BL281" s="3">
        <f t="shared" si="42"/>
        <v>0.94333424358242735</v>
      </c>
      <c r="BM281" s="3">
        <f t="shared" si="43"/>
        <v>-0.35238640620201411</v>
      </c>
      <c r="BN281" s="3">
        <f t="shared" si="44"/>
        <v>46.476135937979862</v>
      </c>
      <c r="BO281" s="2" t="str">
        <f t="shared" si="45"/>
        <v>C</v>
      </c>
    </row>
    <row r="282" spans="1:67" x14ac:dyDescent="0.35">
      <c r="A282" s="15">
        <v>281</v>
      </c>
      <c r="B282" s="10" t="s">
        <v>270</v>
      </c>
      <c r="C282" s="11">
        <v>23</v>
      </c>
      <c r="D282" s="11">
        <v>1</v>
      </c>
      <c r="E282" s="11">
        <v>0</v>
      </c>
      <c r="F282" s="11">
        <v>1</v>
      </c>
      <c r="G282" s="11">
        <v>1</v>
      </c>
      <c r="H282" s="11">
        <v>1</v>
      </c>
      <c r="I282" s="11">
        <v>1</v>
      </c>
      <c r="J282" s="11">
        <v>1</v>
      </c>
      <c r="K282" s="11">
        <v>1</v>
      </c>
      <c r="L282" s="11">
        <v>1</v>
      </c>
      <c r="M282" s="11">
        <v>1</v>
      </c>
      <c r="N282" s="11">
        <v>1</v>
      </c>
      <c r="O282" s="11">
        <v>1</v>
      </c>
      <c r="P282" s="11">
        <v>1</v>
      </c>
      <c r="Q282" s="11">
        <v>1</v>
      </c>
      <c r="R282" s="11">
        <v>1</v>
      </c>
      <c r="S282" s="11">
        <v>1</v>
      </c>
      <c r="T282" s="11">
        <v>0</v>
      </c>
      <c r="U282" s="11">
        <v>1</v>
      </c>
      <c r="V282" s="11">
        <v>1</v>
      </c>
      <c r="W282" s="11">
        <v>0</v>
      </c>
      <c r="X282" s="11">
        <v>1</v>
      </c>
      <c r="Y282" s="11">
        <v>0</v>
      </c>
      <c r="Z282" s="11">
        <v>0</v>
      </c>
      <c r="AA282" s="11">
        <v>1</v>
      </c>
      <c r="AB282" s="11">
        <v>0</v>
      </c>
      <c r="AC282" s="11">
        <v>1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1</v>
      </c>
      <c r="AJ282" s="11">
        <v>0</v>
      </c>
      <c r="AK282" s="11">
        <v>0</v>
      </c>
      <c r="AL282" s="11">
        <v>1</v>
      </c>
      <c r="AM282" s="11">
        <v>1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5">
        <f t="shared" si="46"/>
        <v>67.271007220116672</v>
      </c>
      <c r="BH282" s="3">
        <f t="shared" si="47"/>
        <v>17.179570454429513</v>
      </c>
      <c r="BI282" s="3">
        <f t="shared" si="48"/>
        <v>37.820429545570491</v>
      </c>
      <c r="BJ282" s="3">
        <f t="shared" si="40"/>
        <v>-0.78912850720491046</v>
      </c>
      <c r="BK282" s="3">
        <f t="shared" si="41"/>
        <v>-0.45609683602320777</v>
      </c>
      <c r="BL282" s="3">
        <f t="shared" si="42"/>
        <v>0.94333424358242735</v>
      </c>
      <c r="BM282" s="3">
        <f t="shared" si="43"/>
        <v>-0.3530367666045644</v>
      </c>
      <c r="BN282" s="3">
        <f t="shared" si="44"/>
        <v>46.469632333954358</v>
      </c>
      <c r="BO282" s="2" t="str">
        <f t="shared" si="45"/>
        <v>C</v>
      </c>
    </row>
    <row r="283" spans="1:67" x14ac:dyDescent="0.35">
      <c r="A283" s="15">
        <v>282</v>
      </c>
      <c r="B283" s="10" t="s">
        <v>271</v>
      </c>
      <c r="C283" s="11">
        <v>22</v>
      </c>
      <c r="D283" s="11">
        <v>1</v>
      </c>
      <c r="E283" s="11">
        <v>1</v>
      </c>
      <c r="F283" s="11">
        <v>1</v>
      </c>
      <c r="G283" s="11">
        <v>1</v>
      </c>
      <c r="H283" s="11">
        <v>1</v>
      </c>
      <c r="I283" s="11">
        <v>1</v>
      </c>
      <c r="J283" s="11">
        <v>1</v>
      </c>
      <c r="K283" s="11">
        <v>1</v>
      </c>
      <c r="L283" s="11">
        <v>0</v>
      </c>
      <c r="M283" s="11">
        <v>1</v>
      </c>
      <c r="N283" s="11">
        <v>1</v>
      </c>
      <c r="O283" s="11">
        <v>0</v>
      </c>
      <c r="P283" s="11">
        <v>0</v>
      </c>
      <c r="Q283" s="11">
        <v>1</v>
      </c>
      <c r="R283" s="11">
        <v>0</v>
      </c>
      <c r="S283" s="11">
        <v>1</v>
      </c>
      <c r="T283" s="11">
        <v>0</v>
      </c>
      <c r="U283" s="11">
        <v>0</v>
      </c>
      <c r="V283" s="11">
        <v>0</v>
      </c>
      <c r="W283" s="11">
        <v>1</v>
      </c>
      <c r="X283" s="11">
        <v>0</v>
      </c>
      <c r="Y283" s="11">
        <v>1</v>
      </c>
      <c r="Z283" s="11">
        <v>0</v>
      </c>
      <c r="AA283" s="11">
        <v>0</v>
      </c>
      <c r="AB283" s="11">
        <v>0</v>
      </c>
      <c r="AC283" s="11">
        <v>0</v>
      </c>
      <c r="AD283" s="11">
        <v>1</v>
      </c>
      <c r="AE283" s="11">
        <v>1</v>
      </c>
      <c r="AF283" s="11">
        <v>0</v>
      </c>
      <c r="AG283" s="11">
        <v>0</v>
      </c>
      <c r="AH283" s="11">
        <v>1</v>
      </c>
      <c r="AI283" s="11">
        <v>1</v>
      </c>
      <c r="AJ283" s="11">
        <v>1</v>
      </c>
      <c r="AK283" s="11">
        <v>0</v>
      </c>
      <c r="AL283" s="11">
        <v>0</v>
      </c>
      <c r="AM283" s="11">
        <v>1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1</v>
      </c>
      <c r="BA283" s="11">
        <v>1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5">
        <f t="shared" si="46"/>
        <v>66.711371669049541</v>
      </c>
      <c r="BH283" s="3">
        <f t="shared" si="47"/>
        <v>17.036651554064274</v>
      </c>
      <c r="BI283" s="3">
        <f t="shared" si="48"/>
        <v>37.963348445935722</v>
      </c>
      <c r="BJ283" s="3">
        <f t="shared" si="40"/>
        <v>-0.80125418265390247</v>
      </c>
      <c r="BK283" s="3">
        <f t="shared" si="41"/>
        <v>-0.45609683602320777</v>
      </c>
      <c r="BL283" s="3">
        <f t="shared" si="42"/>
        <v>0.94333424358242735</v>
      </c>
      <c r="BM283" s="3">
        <f t="shared" si="43"/>
        <v>-0.36589082711544257</v>
      </c>
      <c r="BN283" s="3">
        <f t="shared" si="44"/>
        <v>46.341091728845576</v>
      </c>
      <c r="BO283" s="2" t="str">
        <f t="shared" si="45"/>
        <v>C</v>
      </c>
    </row>
    <row r="284" spans="1:67" x14ac:dyDescent="0.35">
      <c r="A284" s="1">
        <v>283</v>
      </c>
      <c r="B284" s="10" t="s">
        <v>272</v>
      </c>
      <c r="C284" s="11">
        <v>23</v>
      </c>
      <c r="D284" s="11">
        <v>1</v>
      </c>
      <c r="E284" s="11">
        <v>1</v>
      </c>
      <c r="F284" s="11">
        <v>1</v>
      </c>
      <c r="G284" s="11">
        <v>1</v>
      </c>
      <c r="H284" s="11">
        <v>1</v>
      </c>
      <c r="I284" s="11">
        <v>1</v>
      </c>
      <c r="J284" s="11">
        <v>1</v>
      </c>
      <c r="K284" s="11">
        <v>1</v>
      </c>
      <c r="L284" s="11">
        <v>1</v>
      </c>
      <c r="M284" s="11">
        <v>1</v>
      </c>
      <c r="N284" s="11">
        <v>0</v>
      </c>
      <c r="O284" s="11">
        <v>1</v>
      </c>
      <c r="P284" s="11">
        <v>0</v>
      </c>
      <c r="Q284" s="11">
        <v>1</v>
      </c>
      <c r="R284" s="11">
        <v>1</v>
      </c>
      <c r="S284" s="11">
        <v>1</v>
      </c>
      <c r="T284" s="11">
        <v>1</v>
      </c>
      <c r="U284" s="11">
        <v>0</v>
      </c>
      <c r="V284" s="11">
        <v>0</v>
      </c>
      <c r="W284" s="11">
        <v>0</v>
      </c>
      <c r="X284" s="11">
        <v>0</v>
      </c>
      <c r="Y284" s="11">
        <v>1</v>
      </c>
      <c r="Z284" s="11">
        <v>0</v>
      </c>
      <c r="AA284" s="11">
        <v>0</v>
      </c>
      <c r="AB284" s="11">
        <v>0</v>
      </c>
      <c r="AC284" s="11">
        <v>1</v>
      </c>
      <c r="AD284" s="11">
        <v>0</v>
      </c>
      <c r="AE284" s="11">
        <v>1</v>
      </c>
      <c r="AF284" s="11">
        <v>0</v>
      </c>
      <c r="AG284" s="11">
        <v>1</v>
      </c>
      <c r="AH284" s="11">
        <v>1</v>
      </c>
      <c r="AI284" s="11">
        <v>0</v>
      </c>
      <c r="AJ284" s="11">
        <v>0</v>
      </c>
      <c r="AK284" s="11">
        <v>0</v>
      </c>
      <c r="AL284" s="11">
        <v>0</v>
      </c>
      <c r="AM284" s="11">
        <v>1</v>
      </c>
      <c r="AN284" s="11">
        <v>1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1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5">
        <f t="shared" si="46"/>
        <v>66.500001236312386</v>
      </c>
      <c r="BH284" s="3">
        <f t="shared" si="47"/>
        <v>16.982672085177931</v>
      </c>
      <c r="BI284" s="3">
        <f t="shared" si="48"/>
        <v>38.017327914822069</v>
      </c>
      <c r="BJ284" s="3">
        <f t="shared" si="40"/>
        <v>-0.80584851842885186</v>
      </c>
      <c r="BK284" s="3">
        <f t="shared" si="41"/>
        <v>-0.45609683602320777</v>
      </c>
      <c r="BL284" s="3">
        <f t="shared" si="42"/>
        <v>0.94333424358242735</v>
      </c>
      <c r="BM284" s="3">
        <f t="shared" si="43"/>
        <v>-0.37076114302542357</v>
      </c>
      <c r="BN284" s="3">
        <f t="shared" si="44"/>
        <v>46.292388569745768</v>
      </c>
      <c r="BO284" s="2" t="str">
        <f t="shared" si="45"/>
        <v>C</v>
      </c>
    </row>
    <row r="285" spans="1:67" x14ac:dyDescent="0.35">
      <c r="A285" s="15">
        <v>284</v>
      </c>
      <c r="B285" s="10" t="s">
        <v>273</v>
      </c>
      <c r="C285" s="11">
        <v>23</v>
      </c>
      <c r="D285" s="11">
        <v>1</v>
      </c>
      <c r="E285" s="11">
        <v>1</v>
      </c>
      <c r="F285" s="11">
        <v>1</v>
      </c>
      <c r="G285" s="11">
        <v>1</v>
      </c>
      <c r="H285" s="11">
        <v>1</v>
      </c>
      <c r="I285" s="11">
        <v>1</v>
      </c>
      <c r="J285" s="11">
        <v>1</v>
      </c>
      <c r="K285" s="11">
        <v>1</v>
      </c>
      <c r="L285" s="11">
        <v>1</v>
      </c>
      <c r="M285" s="11">
        <v>1</v>
      </c>
      <c r="N285" s="11">
        <v>1</v>
      </c>
      <c r="O285" s="11">
        <v>1</v>
      </c>
      <c r="P285" s="11">
        <v>0</v>
      </c>
      <c r="Q285" s="11">
        <v>1</v>
      </c>
      <c r="R285" s="11">
        <v>0</v>
      </c>
      <c r="S285" s="11">
        <v>1</v>
      </c>
      <c r="T285" s="11">
        <v>1</v>
      </c>
      <c r="U285" s="11">
        <v>0</v>
      </c>
      <c r="V285" s="11">
        <v>1</v>
      </c>
      <c r="W285" s="11">
        <v>0</v>
      </c>
      <c r="X285" s="11">
        <v>0</v>
      </c>
      <c r="Y285" s="11">
        <v>1</v>
      </c>
      <c r="Z285" s="11">
        <v>1</v>
      </c>
      <c r="AA285" s="11">
        <v>0</v>
      </c>
      <c r="AB285" s="11">
        <v>1</v>
      </c>
      <c r="AC285" s="11">
        <v>1</v>
      </c>
      <c r="AD285" s="11">
        <v>0</v>
      </c>
      <c r="AE285" s="11">
        <v>0</v>
      </c>
      <c r="AF285" s="11">
        <v>1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1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1</v>
      </c>
      <c r="AU285" s="11">
        <v>0</v>
      </c>
      <c r="AV285" s="11">
        <v>0</v>
      </c>
      <c r="AW285" s="11">
        <v>0</v>
      </c>
      <c r="AX285" s="11">
        <v>0</v>
      </c>
      <c r="AY285" s="11">
        <v>0</v>
      </c>
      <c r="AZ285" s="11">
        <v>0</v>
      </c>
      <c r="BA285" s="11">
        <v>0</v>
      </c>
      <c r="BB285" s="11">
        <v>0</v>
      </c>
      <c r="BC285" s="11">
        <v>0</v>
      </c>
      <c r="BD285" s="11">
        <v>0</v>
      </c>
      <c r="BE285" s="11">
        <v>0</v>
      </c>
      <c r="BF285" s="11">
        <v>0</v>
      </c>
      <c r="BG285" s="5">
        <f t="shared" si="46"/>
        <v>66.428583984599442</v>
      </c>
      <c r="BH285" s="3">
        <f t="shared" si="47"/>
        <v>16.964433652929554</v>
      </c>
      <c r="BI285" s="3">
        <f t="shared" si="48"/>
        <v>38.035566347070443</v>
      </c>
      <c r="BJ285" s="3">
        <f t="shared" si="40"/>
        <v>-0.80740266407890982</v>
      </c>
      <c r="BK285" s="3">
        <f t="shared" si="41"/>
        <v>-0.45609683602320777</v>
      </c>
      <c r="BL285" s="3">
        <f t="shared" si="42"/>
        <v>0.94333424358242735</v>
      </c>
      <c r="BM285" s="3">
        <f t="shared" si="43"/>
        <v>-0.37240864565837778</v>
      </c>
      <c r="BN285" s="3">
        <f t="shared" si="44"/>
        <v>46.275913543416223</v>
      </c>
      <c r="BO285" s="2" t="str">
        <f t="shared" si="45"/>
        <v>C</v>
      </c>
    </row>
    <row r="286" spans="1:67" x14ac:dyDescent="0.35">
      <c r="A286" s="15">
        <v>285</v>
      </c>
      <c r="B286" s="10" t="s">
        <v>274</v>
      </c>
      <c r="C286" s="11">
        <v>22</v>
      </c>
      <c r="D286" s="11">
        <v>1</v>
      </c>
      <c r="E286" s="11">
        <v>0</v>
      </c>
      <c r="F286" s="11">
        <v>1</v>
      </c>
      <c r="G286" s="11">
        <v>1</v>
      </c>
      <c r="H286" s="11">
        <v>1</v>
      </c>
      <c r="I286" s="11">
        <v>1</v>
      </c>
      <c r="J286" s="11">
        <v>1</v>
      </c>
      <c r="K286" s="11">
        <v>1</v>
      </c>
      <c r="L286" s="11">
        <v>1</v>
      </c>
      <c r="M286" s="11">
        <v>1</v>
      </c>
      <c r="N286" s="11">
        <v>0</v>
      </c>
      <c r="O286" s="11">
        <v>0</v>
      </c>
      <c r="P286" s="11">
        <v>0</v>
      </c>
      <c r="Q286" s="11">
        <v>1</v>
      </c>
      <c r="R286" s="11">
        <v>1</v>
      </c>
      <c r="S286" s="11">
        <v>0</v>
      </c>
      <c r="T286" s="11">
        <v>0</v>
      </c>
      <c r="U286" s="11">
        <v>0</v>
      </c>
      <c r="V286" s="11">
        <v>1</v>
      </c>
      <c r="W286" s="11">
        <v>0</v>
      </c>
      <c r="X286" s="11">
        <v>1</v>
      </c>
      <c r="Y286" s="11">
        <v>1</v>
      </c>
      <c r="Z286" s="11">
        <v>1</v>
      </c>
      <c r="AA286" s="11">
        <v>0</v>
      </c>
      <c r="AB286" s="11">
        <v>0</v>
      </c>
      <c r="AC286" s="11">
        <v>1</v>
      </c>
      <c r="AD286" s="11">
        <v>1</v>
      </c>
      <c r="AE286" s="11">
        <v>1</v>
      </c>
      <c r="AF286" s="11">
        <v>1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1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1</v>
      </c>
      <c r="AU286" s="11">
        <v>0</v>
      </c>
      <c r="AV286" s="11">
        <v>0</v>
      </c>
      <c r="AW286" s="11">
        <v>1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0</v>
      </c>
      <c r="BE286" s="11">
        <v>0</v>
      </c>
      <c r="BF286" s="11">
        <v>0</v>
      </c>
      <c r="BG286" s="5">
        <f t="shared" si="46"/>
        <v>66.356295361886225</v>
      </c>
      <c r="BH286" s="3">
        <f t="shared" si="47"/>
        <v>16.945972691242272</v>
      </c>
      <c r="BI286" s="3">
        <f t="shared" si="48"/>
        <v>38.054027308757725</v>
      </c>
      <c r="BJ286" s="3">
        <f t="shared" si="40"/>
        <v>-0.80897671499115231</v>
      </c>
      <c r="BK286" s="3">
        <f t="shared" si="41"/>
        <v>-0.45609683602320777</v>
      </c>
      <c r="BL286" s="3">
        <f t="shared" si="42"/>
        <v>0.94333424358242735</v>
      </c>
      <c r="BM286" s="3">
        <f t="shared" si="43"/>
        <v>-0.37407724925561908</v>
      </c>
      <c r="BN286" s="3">
        <f t="shared" si="44"/>
        <v>46.259227507443811</v>
      </c>
      <c r="BO286" s="2" t="str">
        <f t="shared" si="45"/>
        <v>C</v>
      </c>
    </row>
    <row r="287" spans="1:67" x14ac:dyDescent="0.35">
      <c r="A287" s="1">
        <v>286</v>
      </c>
      <c r="B287" s="10" t="s">
        <v>275</v>
      </c>
      <c r="C287" s="11">
        <v>20</v>
      </c>
      <c r="D287" s="11">
        <v>0</v>
      </c>
      <c r="E287" s="11">
        <v>1</v>
      </c>
      <c r="F287" s="11">
        <v>0</v>
      </c>
      <c r="G287" s="11">
        <v>1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0</v>
      </c>
      <c r="O287" s="11">
        <v>0</v>
      </c>
      <c r="P287" s="11">
        <v>0</v>
      </c>
      <c r="Q287" s="11">
        <v>1</v>
      </c>
      <c r="R287" s="11">
        <v>0</v>
      </c>
      <c r="S287" s="11">
        <v>0</v>
      </c>
      <c r="T287" s="11">
        <v>1</v>
      </c>
      <c r="U287" s="11">
        <v>0</v>
      </c>
      <c r="V287" s="11">
        <v>0</v>
      </c>
      <c r="W287" s="11">
        <v>1</v>
      </c>
      <c r="X287" s="11">
        <v>0</v>
      </c>
      <c r="Y287" s="11">
        <v>1</v>
      </c>
      <c r="Z287" s="11">
        <v>0</v>
      </c>
      <c r="AA287" s="11">
        <v>0</v>
      </c>
      <c r="AB287" s="11">
        <v>0</v>
      </c>
      <c r="AC287" s="11">
        <v>1</v>
      </c>
      <c r="AD287" s="11">
        <v>0</v>
      </c>
      <c r="AE287" s="11">
        <v>1</v>
      </c>
      <c r="AF287" s="11">
        <v>0</v>
      </c>
      <c r="AG287" s="11">
        <v>1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1</v>
      </c>
      <c r="AP287" s="11">
        <v>1</v>
      </c>
      <c r="AQ287" s="11">
        <v>0</v>
      </c>
      <c r="AR287" s="11">
        <v>0</v>
      </c>
      <c r="AS287" s="11">
        <v>1</v>
      </c>
      <c r="AT287" s="11">
        <v>0</v>
      </c>
      <c r="AU287" s="11">
        <v>1</v>
      </c>
      <c r="AV287" s="11">
        <v>1</v>
      </c>
      <c r="AW287" s="11">
        <v>0</v>
      </c>
      <c r="AX287" s="11">
        <v>0</v>
      </c>
      <c r="AY287" s="11">
        <v>0</v>
      </c>
      <c r="AZ287" s="11">
        <v>0</v>
      </c>
      <c r="BA287" s="11">
        <v>0</v>
      </c>
      <c r="BB287" s="11">
        <v>0</v>
      </c>
      <c r="BC287" s="11">
        <v>0</v>
      </c>
      <c r="BD287" s="11">
        <v>0</v>
      </c>
      <c r="BE287" s="11">
        <v>0</v>
      </c>
      <c r="BF287" s="11">
        <v>0</v>
      </c>
      <c r="BG287" s="5">
        <f t="shared" si="46"/>
        <v>66.087048702971629</v>
      </c>
      <c r="BH287" s="3">
        <f t="shared" si="47"/>
        <v>16.877212877206667</v>
      </c>
      <c r="BI287" s="3">
        <f t="shared" si="48"/>
        <v>38.122787122793333</v>
      </c>
      <c r="BJ287" s="3">
        <f t="shared" si="40"/>
        <v>-0.81484782893675234</v>
      </c>
      <c r="BK287" s="3">
        <f t="shared" si="41"/>
        <v>-0.45609683602320777</v>
      </c>
      <c r="BL287" s="3">
        <f t="shared" si="42"/>
        <v>0.94333424358242735</v>
      </c>
      <c r="BM287" s="3">
        <f t="shared" si="43"/>
        <v>-0.38030103895215733</v>
      </c>
      <c r="BN287" s="3">
        <f t="shared" si="44"/>
        <v>46.196989610478425</v>
      </c>
      <c r="BO287" s="2" t="str">
        <f t="shared" si="45"/>
        <v>C</v>
      </c>
    </row>
    <row r="288" spans="1:67" x14ac:dyDescent="0.35">
      <c r="A288" s="15">
        <v>287</v>
      </c>
      <c r="B288" s="10" t="s">
        <v>276</v>
      </c>
      <c r="C288" s="11">
        <v>23</v>
      </c>
      <c r="D288" s="11">
        <v>1</v>
      </c>
      <c r="E288" s="11">
        <v>1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0</v>
      </c>
      <c r="O288" s="11">
        <v>0</v>
      </c>
      <c r="P288" s="11">
        <v>0</v>
      </c>
      <c r="Q288" s="11">
        <v>1</v>
      </c>
      <c r="R288" s="11">
        <v>1</v>
      </c>
      <c r="S288" s="11">
        <v>1</v>
      </c>
      <c r="T288" s="11">
        <v>0</v>
      </c>
      <c r="U288" s="11">
        <v>1</v>
      </c>
      <c r="V288" s="11">
        <v>1</v>
      </c>
      <c r="W288" s="11">
        <v>1</v>
      </c>
      <c r="X288" s="11">
        <v>0</v>
      </c>
      <c r="Y288" s="11">
        <v>1</v>
      </c>
      <c r="Z288" s="11">
        <v>1</v>
      </c>
      <c r="AA288" s="11">
        <v>0</v>
      </c>
      <c r="AB288" s="11">
        <v>0</v>
      </c>
      <c r="AC288" s="11">
        <v>1</v>
      </c>
      <c r="AD288" s="11">
        <v>1</v>
      </c>
      <c r="AE288" s="11">
        <v>1</v>
      </c>
      <c r="AF288" s="11">
        <v>0</v>
      </c>
      <c r="AG288" s="11">
        <v>0</v>
      </c>
      <c r="AH288" s="11">
        <v>0</v>
      </c>
      <c r="AI288" s="11">
        <v>1</v>
      </c>
      <c r="AJ288" s="11">
        <v>0</v>
      </c>
      <c r="AK288" s="11">
        <v>0</v>
      </c>
      <c r="AL288" s="11">
        <v>1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5">
        <f t="shared" si="46"/>
        <v>65.990737257653009</v>
      </c>
      <c r="BH288" s="3">
        <f t="shared" si="47"/>
        <v>16.852617002567758</v>
      </c>
      <c r="BI288" s="3">
        <f t="shared" si="48"/>
        <v>38.147382997432246</v>
      </c>
      <c r="BJ288" s="3">
        <f t="shared" si="40"/>
        <v>-0.81695120120549469</v>
      </c>
      <c r="BK288" s="3">
        <f t="shared" si="41"/>
        <v>-0.45609683602320777</v>
      </c>
      <c r="BL288" s="3">
        <f t="shared" si="42"/>
        <v>0.94333424358242735</v>
      </c>
      <c r="BM288" s="3">
        <f t="shared" si="43"/>
        <v>-0.38253076005371994</v>
      </c>
      <c r="BN288" s="3">
        <f t="shared" si="44"/>
        <v>46.174692399462799</v>
      </c>
      <c r="BO288" s="2" t="str">
        <f t="shared" si="45"/>
        <v>C</v>
      </c>
    </row>
    <row r="289" spans="1:67" x14ac:dyDescent="0.35">
      <c r="A289" s="15">
        <v>288</v>
      </c>
      <c r="B289" s="10" t="s">
        <v>277</v>
      </c>
      <c r="C289" s="11">
        <v>22</v>
      </c>
      <c r="D289" s="11">
        <v>1</v>
      </c>
      <c r="E289" s="11">
        <v>1</v>
      </c>
      <c r="F289" s="11">
        <v>0</v>
      </c>
      <c r="G289" s="11">
        <v>1</v>
      </c>
      <c r="H289" s="11">
        <v>1</v>
      </c>
      <c r="I289" s="11">
        <v>1</v>
      </c>
      <c r="J289" s="11">
        <v>1</v>
      </c>
      <c r="K289" s="11">
        <v>1</v>
      </c>
      <c r="L289" s="11">
        <v>0</v>
      </c>
      <c r="M289" s="11">
        <v>1</v>
      </c>
      <c r="N289" s="11">
        <v>1</v>
      </c>
      <c r="O289" s="11">
        <v>1</v>
      </c>
      <c r="P289" s="11">
        <v>0</v>
      </c>
      <c r="Q289" s="11">
        <v>1</v>
      </c>
      <c r="R289" s="11">
        <v>1</v>
      </c>
      <c r="S289" s="11">
        <v>1</v>
      </c>
      <c r="T289" s="11">
        <v>0</v>
      </c>
      <c r="U289" s="11">
        <v>1</v>
      </c>
      <c r="V289" s="11">
        <v>1</v>
      </c>
      <c r="W289" s="11">
        <v>1</v>
      </c>
      <c r="X289" s="11">
        <v>0</v>
      </c>
      <c r="Y289" s="11">
        <v>1</v>
      </c>
      <c r="Z289" s="11">
        <v>1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1</v>
      </c>
      <c r="AI289" s="11">
        <v>1</v>
      </c>
      <c r="AJ289" s="11">
        <v>0</v>
      </c>
      <c r="AK289" s="11">
        <v>0</v>
      </c>
      <c r="AL289" s="11">
        <v>0</v>
      </c>
      <c r="AM289" s="11">
        <v>1</v>
      </c>
      <c r="AN289" s="11">
        <v>1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5">
        <f t="shared" si="46"/>
        <v>65.772031503146053</v>
      </c>
      <c r="BH289" s="3">
        <f t="shared" si="47"/>
        <v>16.796764250043225</v>
      </c>
      <c r="BI289" s="3">
        <f t="shared" si="48"/>
        <v>38.203235749956775</v>
      </c>
      <c r="BJ289" s="3">
        <f t="shared" si="40"/>
        <v>-0.82173395382691661</v>
      </c>
      <c r="BK289" s="3">
        <f t="shared" si="41"/>
        <v>-0.45609683602320777</v>
      </c>
      <c r="BL289" s="3">
        <f t="shared" si="42"/>
        <v>0.94333424358242735</v>
      </c>
      <c r="BM289" s="3">
        <f t="shared" si="43"/>
        <v>-0.38760081094391008</v>
      </c>
      <c r="BN289" s="3">
        <f t="shared" si="44"/>
        <v>46.123991890560902</v>
      </c>
      <c r="BO289" s="2" t="str">
        <f t="shared" si="45"/>
        <v>C</v>
      </c>
    </row>
    <row r="290" spans="1:67" x14ac:dyDescent="0.35">
      <c r="A290" s="1">
        <v>289</v>
      </c>
      <c r="B290" s="10" t="s">
        <v>278</v>
      </c>
      <c r="C290" s="11">
        <v>22</v>
      </c>
      <c r="D290" s="11">
        <v>1</v>
      </c>
      <c r="E290" s="11">
        <v>1</v>
      </c>
      <c r="F290" s="11">
        <v>1</v>
      </c>
      <c r="G290" s="11">
        <v>1</v>
      </c>
      <c r="H290" s="11">
        <v>1</v>
      </c>
      <c r="I290" s="11">
        <v>0</v>
      </c>
      <c r="J290" s="11">
        <v>1</v>
      </c>
      <c r="K290" s="11">
        <v>1</v>
      </c>
      <c r="L290" s="11">
        <v>1</v>
      </c>
      <c r="M290" s="11">
        <v>1</v>
      </c>
      <c r="N290" s="11">
        <v>0</v>
      </c>
      <c r="O290" s="11">
        <v>1</v>
      </c>
      <c r="P290" s="11">
        <v>0</v>
      </c>
      <c r="Q290" s="11">
        <v>1</v>
      </c>
      <c r="R290" s="11">
        <v>0</v>
      </c>
      <c r="S290" s="11">
        <v>1</v>
      </c>
      <c r="T290" s="11">
        <v>1</v>
      </c>
      <c r="U290" s="11">
        <v>1</v>
      </c>
      <c r="V290" s="11">
        <v>0</v>
      </c>
      <c r="W290" s="11">
        <v>0</v>
      </c>
      <c r="X290" s="11">
        <v>1</v>
      </c>
      <c r="Y290" s="11">
        <v>0</v>
      </c>
      <c r="Z290" s="11">
        <v>1</v>
      </c>
      <c r="AA290" s="11">
        <v>0</v>
      </c>
      <c r="AB290" s="11">
        <v>1</v>
      </c>
      <c r="AC290" s="11">
        <v>0</v>
      </c>
      <c r="AD290" s="11">
        <v>1</v>
      </c>
      <c r="AE290" s="11">
        <v>0</v>
      </c>
      <c r="AF290" s="11">
        <v>1</v>
      </c>
      <c r="AG290" s="11">
        <v>0</v>
      </c>
      <c r="AH290" s="11">
        <v>0</v>
      </c>
      <c r="AI290" s="11">
        <v>1</v>
      </c>
      <c r="AJ290" s="11">
        <v>0</v>
      </c>
      <c r="AK290" s="11">
        <v>1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1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5">
        <f t="shared" si="46"/>
        <v>65.664953367264047</v>
      </c>
      <c r="BH290" s="3">
        <f t="shared" si="47"/>
        <v>16.769418793872266</v>
      </c>
      <c r="BI290" s="3">
        <f t="shared" si="48"/>
        <v>38.230581206127738</v>
      </c>
      <c r="BJ290" s="3">
        <f t="shared" si="40"/>
        <v>-0.82407883273010729</v>
      </c>
      <c r="BK290" s="3">
        <f t="shared" si="41"/>
        <v>-0.45609683602320777</v>
      </c>
      <c r="BL290" s="3">
        <f t="shared" si="42"/>
        <v>0.94333424358242735</v>
      </c>
      <c r="BM290" s="3">
        <f t="shared" si="43"/>
        <v>-0.39008654589855957</v>
      </c>
      <c r="BN290" s="3">
        <f t="shared" si="44"/>
        <v>46.099134541014408</v>
      </c>
      <c r="BO290" s="2" t="str">
        <f t="shared" si="45"/>
        <v>C</v>
      </c>
    </row>
    <row r="291" spans="1:67" x14ac:dyDescent="0.35">
      <c r="A291" s="15">
        <v>290</v>
      </c>
      <c r="B291" s="10" t="s">
        <v>279</v>
      </c>
      <c r="C291" s="11">
        <v>22</v>
      </c>
      <c r="D291" s="11">
        <v>1</v>
      </c>
      <c r="E291" s="11">
        <v>1</v>
      </c>
      <c r="F291" s="11">
        <v>0</v>
      </c>
      <c r="G291" s="11">
        <v>1</v>
      </c>
      <c r="H291" s="11">
        <v>1</v>
      </c>
      <c r="I291" s="11">
        <v>1</v>
      </c>
      <c r="J291" s="11">
        <v>1</v>
      </c>
      <c r="K291" s="11">
        <v>1</v>
      </c>
      <c r="L291" s="11">
        <v>1</v>
      </c>
      <c r="M291" s="11">
        <v>1</v>
      </c>
      <c r="N291" s="11">
        <v>1</v>
      </c>
      <c r="O291" s="11">
        <v>1</v>
      </c>
      <c r="P291" s="11">
        <v>1</v>
      </c>
      <c r="Q291" s="11">
        <v>1</v>
      </c>
      <c r="R291" s="11">
        <v>1</v>
      </c>
      <c r="S291" s="11">
        <v>1</v>
      </c>
      <c r="T291" s="11">
        <v>0</v>
      </c>
      <c r="U291" s="11">
        <v>1</v>
      </c>
      <c r="V291" s="11">
        <v>0</v>
      </c>
      <c r="W291" s="11">
        <v>0</v>
      </c>
      <c r="X291" s="11">
        <v>1</v>
      </c>
      <c r="Y291" s="11">
        <v>1</v>
      </c>
      <c r="Z291" s="11">
        <v>1</v>
      </c>
      <c r="AA291" s="11">
        <v>1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1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1</v>
      </c>
      <c r="BG291" s="5">
        <f t="shared" si="46"/>
        <v>65.640252464227103</v>
      </c>
      <c r="BH291" s="3">
        <f t="shared" si="47"/>
        <v>16.763110713741657</v>
      </c>
      <c r="BI291" s="3">
        <f t="shared" si="48"/>
        <v>38.236889286258346</v>
      </c>
      <c r="BJ291" s="3">
        <f t="shared" si="40"/>
        <v>-0.82462005648071457</v>
      </c>
      <c r="BK291" s="3">
        <f t="shared" si="41"/>
        <v>-0.45609683602320777</v>
      </c>
      <c r="BL291" s="3">
        <f t="shared" si="42"/>
        <v>0.94333424358242735</v>
      </c>
      <c r="BM291" s="3">
        <f t="shared" si="43"/>
        <v>-0.39066028076961856</v>
      </c>
      <c r="BN291" s="3">
        <f t="shared" si="44"/>
        <v>46.093397192303811</v>
      </c>
      <c r="BO291" s="2" t="str">
        <f t="shared" si="45"/>
        <v>C</v>
      </c>
    </row>
    <row r="292" spans="1:67" x14ac:dyDescent="0.35">
      <c r="A292" s="15">
        <v>291</v>
      </c>
      <c r="B292" s="10" t="s">
        <v>280</v>
      </c>
      <c r="C292" s="11">
        <v>23</v>
      </c>
      <c r="D292" s="11">
        <v>0</v>
      </c>
      <c r="E292" s="11">
        <v>1</v>
      </c>
      <c r="F292" s="11">
        <v>1</v>
      </c>
      <c r="G292" s="11">
        <v>1</v>
      </c>
      <c r="H292" s="11">
        <v>1</v>
      </c>
      <c r="I292" s="11">
        <v>1</v>
      </c>
      <c r="J292" s="11">
        <v>1</v>
      </c>
      <c r="K292" s="11">
        <v>1</v>
      </c>
      <c r="L292" s="11">
        <v>0</v>
      </c>
      <c r="M292" s="11">
        <v>1</v>
      </c>
      <c r="N292" s="11">
        <v>1</v>
      </c>
      <c r="O292" s="11">
        <v>1</v>
      </c>
      <c r="P292" s="11">
        <v>0</v>
      </c>
      <c r="Q292" s="11">
        <v>1</v>
      </c>
      <c r="R292" s="11">
        <v>1</v>
      </c>
      <c r="S292" s="11">
        <v>1</v>
      </c>
      <c r="T292" s="11">
        <v>1</v>
      </c>
      <c r="U292" s="11">
        <v>1</v>
      </c>
      <c r="V292" s="11">
        <v>1</v>
      </c>
      <c r="W292" s="11">
        <v>1</v>
      </c>
      <c r="X292" s="11">
        <v>1</v>
      </c>
      <c r="Y292" s="11">
        <v>1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1</v>
      </c>
      <c r="AF292" s="11">
        <v>1</v>
      </c>
      <c r="AG292" s="11">
        <v>1</v>
      </c>
      <c r="AH292" s="11">
        <v>0</v>
      </c>
      <c r="AI292" s="11">
        <v>1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5">
        <f t="shared" si="46"/>
        <v>65.44402324302898</v>
      </c>
      <c r="BH292" s="3">
        <f t="shared" si="47"/>
        <v>16.712997985092294</v>
      </c>
      <c r="BI292" s="3">
        <f t="shared" si="48"/>
        <v>38.287002014907706</v>
      </c>
      <c r="BJ292" s="3">
        <f t="shared" si="40"/>
        <v>-0.8289237264601742</v>
      </c>
      <c r="BK292" s="3">
        <f t="shared" si="41"/>
        <v>-0.45609683602320777</v>
      </c>
      <c r="BL292" s="3">
        <f t="shared" si="42"/>
        <v>0.94333424358242735</v>
      </c>
      <c r="BM292" s="3">
        <f t="shared" si="43"/>
        <v>-0.3952224706919476</v>
      </c>
      <c r="BN292" s="3">
        <f t="shared" si="44"/>
        <v>46.047775293080527</v>
      </c>
      <c r="BO292" s="2" t="str">
        <f t="shared" si="45"/>
        <v>C</v>
      </c>
    </row>
    <row r="293" spans="1:67" x14ac:dyDescent="0.35">
      <c r="A293" s="1">
        <v>292</v>
      </c>
      <c r="B293" s="10" t="s">
        <v>281</v>
      </c>
      <c r="C293" s="11">
        <v>21</v>
      </c>
      <c r="D293" s="11">
        <v>0</v>
      </c>
      <c r="E293" s="11">
        <v>1</v>
      </c>
      <c r="F293" s="11">
        <v>0</v>
      </c>
      <c r="G293" s="11">
        <v>1</v>
      </c>
      <c r="H293" s="11">
        <v>1</v>
      </c>
      <c r="I293" s="11">
        <v>0</v>
      </c>
      <c r="J293" s="11">
        <v>1</v>
      </c>
      <c r="K293" s="11">
        <v>1</v>
      </c>
      <c r="L293" s="11">
        <v>1</v>
      </c>
      <c r="M293" s="11">
        <v>1</v>
      </c>
      <c r="N293" s="11">
        <v>0</v>
      </c>
      <c r="O293" s="11">
        <v>1</v>
      </c>
      <c r="P293" s="11">
        <v>0</v>
      </c>
      <c r="Q293" s="11">
        <v>1</v>
      </c>
      <c r="R293" s="11">
        <v>1</v>
      </c>
      <c r="S293" s="11">
        <v>1</v>
      </c>
      <c r="T293" s="11">
        <v>0</v>
      </c>
      <c r="U293" s="11">
        <v>1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1</v>
      </c>
      <c r="AB293" s="11">
        <v>0</v>
      </c>
      <c r="AC293" s="11">
        <v>0</v>
      </c>
      <c r="AD293" s="11">
        <v>0</v>
      </c>
      <c r="AE293" s="11">
        <v>1</v>
      </c>
      <c r="AF293" s="11">
        <v>0</v>
      </c>
      <c r="AG293" s="11">
        <v>1</v>
      </c>
      <c r="AH293" s="11">
        <v>1</v>
      </c>
      <c r="AI293" s="11">
        <v>1</v>
      </c>
      <c r="AJ293" s="11">
        <v>0</v>
      </c>
      <c r="AK293" s="11">
        <v>0</v>
      </c>
      <c r="AL293" s="11">
        <v>0</v>
      </c>
      <c r="AM293" s="11">
        <v>1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1</v>
      </c>
      <c r="BB293" s="11">
        <v>1</v>
      </c>
      <c r="BC293" s="11">
        <v>0</v>
      </c>
      <c r="BD293" s="11">
        <v>1</v>
      </c>
      <c r="BE293" s="11">
        <v>0</v>
      </c>
      <c r="BF293" s="11">
        <v>0</v>
      </c>
      <c r="BG293" s="5">
        <f t="shared" si="46"/>
        <v>65.405445849593434</v>
      </c>
      <c r="BH293" s="3">
        <f t="shared" si="47"/>
        <v>16.703146147341364</v>
      </c>
      <c r="BI293" s="3">
        <f t="shared" si="48"/>
        <v>38.296853852658636</v>
      </c>
      <c r="BJ293" s="3">
        <f t="shared" si="40"/>
        <v>-0.82977065423780449</v>
      </c>
      <c r="BK293" s="3">
        <f t="shared" si="41"/>
        <v>-0.45609683602320777</v>
      </c>
      <c r="BL293" s="3">
        <f t="shared" si="42"/>
        <v>0.94333424358242735</v>
      </c>
      <c r="BM293" s="3">
        <f t="shared" si="43"/>
        <v>-0.39612027312347386</v>
      </c>
      <c r="BN293" s="3">
        <f t="shared" si="44"/>
        <v>46.038797268765265</v>
      </c>
      <c r="BO293" s="2" t="str">
        <f t="shared" si="45"/>
        <v>C</v>
      </c>
    </row>
    <row r="294" spans="1:67" x14ac:dyDescent="0.35">
      <c r="A294" s="15">
        <v>293</v>
      </c>
      <c r="B294" s="10" t="s">
        <v>282</v>
      </c>
      <c r="C294" s="11">
        <v>22</v>
      </c>
      <c r="D294" s="11">
        <v>1</v>
      </c>
      <c r="E294" s="11">
        <v>0</v>
      </c>
      <c r="F294" s="11">
        <v>0</v>
      </c>
      <c r="G294" s="11">
        <v>1</v>
      </c>
      <c r="H294" s="11">
        <v>1</v>
      </c>
      <c r="I294" s="11">
        <v>1</v>
      </c>
      <c r="J294" s="11">
        <v>1</v>
      </c>
      <c r="K294" s="11">
        <v>1</v>
      </c>
      <c r="L294" s="11">
        <v>1</v>
      </c>
      <c r="M294" s="11">
        <v>1</v>
      </c>
      <c r="N294" s="11">
        <v>1</v>
      </c>
      <c r="O294" s="11">
        <v>1</v>
      </c>
      <c r="P294" s="11">
        <v>0</v>
      </c>
      <c r="Q294" s="11">
        <v>1</v>
      </c>
      <c r="R294" s="11">
        <v>1</v>
      </c>
      <c r="S294" s="11">
        <v>1</v>
      </c>
      <c r="T294" s="11">
        <v>1</v>
      </c>
      <c r="U294" s="11">
        <v>1</v>
      </c>
      <c r="V294" s="11">
        <v>0</v>
      </c>
      <c r="W294" s="11">
        <v>1</v>
      </c>
      <c r="X294" s="11">
        <v>0</v>
      </c>
      <c r="Y294" s="11">
        <v>1</v>
      </c>
      <c r="Z294" s="11">
        <v>1</v>
      </c>
      <c r="AA294" s="11">
        <v>0</v>
      </c>
      <c r="AB294" s="11">
        <v>1</v>
      </c>
      <c r="AC294" s="11">
        <v>1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1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1</v>
      </c>
      <c r="BE294" s="11">
        <v>0</v>
      </c>
      <c r="BF294" s="11">
        <v>0</v>
      </c>
      <c r="BG294" s="5">
        <f t="shared" si="46"/>
        <v>65.15268752727458</v>
      </c>
      <c r="BH294" s="3">
        <f t="shared" si="47"/>
        <v>16.638597100349816</v>
      </c>
      <c r="BI294" s="3">
        <f t="shared" si="48"/>
        <v>38.361402899650187</v>
      </c>
      <c r="BJ294" s="3">
        <f t="shared" si="40"/>
        <v>-0.83532669832166739</v>
      </c>
      <c r="BK294" s="3">
        <f t="shared" si="41"/>
        <v>-0.45609683602320777</v>
      </c>
      <c r="BL294" s="3">
        <f t="shared" si="42"/>
        <v>0.94333424358242735</v>
      </c>
      <c r="BM294" s="3">
        <f t="shared" si="43"/>
        <v>-0.40201006682243162</v>
      </c>
      <c r="BN294" s="3">
        <f t="shared" si="44"/>
        <v>45.979899331775684</v>
      </c>
      <c r="BO294" s="2" t="str">
        <f t="shared" si="45"/>
        <v>C</v>
      </c>
    </row>
    <row r="295" spans="1:67" x14ac:dyDescent="0.35">
      <c r="A295" s="15">
        <v>294</v>
      </c>
      <c r="B295" s="12">
        <v>3010007</v>
      </c>
      <c r="C295" s="11">
        <v>23</v>
      </c>
      <c r="D295" s="11">
        <v>1</v>
      </c>
      <c r="E295" s="11">
        <v>1</v>
      </c>
      <c r="F295" s="11">
        <v>0</v>
      </c>
      <c r="G295" s="11">
        <v>1</v>
      </c>
      <c r="H295" s="11">
        <v>1</v>
      </c>
      <c r="I295" s="11">
        <v>1</v>
      </c>
      <c r="J295" s="11">
        <v>1</v>
      </c>
      <c r="K295" s="11">
        <v>1</v>
      </c>
      <c r="L295" s="11">
        <v>1</v>
      </c>
      <c r="M295" s="11">
        <v>1</v>
      </c>
      <c r="N295" s="11">
        <v>1</v>
      </c>
      <c r="O295" s="11">
        <v>1</v>
      </c>
      <c r="P295" s="11">
        <v>1</v>
      </c>
      <c r="Q295" s="11">
        <v>1</v>
      </c>
      <c r="R295" s="11">
        <v>1</v>
      </c>
      <c r="S295" s="11">
        <v>1</v>
      </c>
      <c r="T295" s="11">
        <v>1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1</v>
      </c>
      <c r="AA295" s="11">
        <v>0</v>
      </c>
      <c r="AB295" s="11">
        <v>0</v>
      </c>
      <c r="AC295" s="11">
        <v>1</v>
      </c>
      <c r="AD295" s="11">
        <v>0</v>
      </c>
      <c r="AE295" s="11">
        <v>1</v>
      </c>
      <c r="AF295" s="11">
        <v>1</v>
      </c>
      <c r="AG295" s="11">
        <v>1</v>
      </c>
      <c r="AH295" s="11">
        <v>0</v>
      </c>
      <c r="AI295" s="11">
        <v>0</v>
      </c>
      <c r="AJ295" s="11">
        <v>1</v>
      </c>
      <c r="AK295" s="11">
        <v>1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5">
        <f t="shared" si="46"/>
        <v>65.137459486826486</v>
      </c>
      <c r="BH295" s="3">
        <f t="shared" si="47"/>
        <v>16.634708185874299</v>
      </c>
      <c r="BI295" s="3">
        <f t="shared" si="48"/>
        <v>38.365291814125698</v>
      </c>
      <c r="BJ295" s="3">
        <f t="shared" si="40"/>
        <v>-0.83566182472078465</v>
      </c>
      <c r="BK295" s="3">
        <f t="shared" si="41"/>
        <v>-0.45609683602320777</v>
      </c>
      <c r="BL295" s="3">
        <f t="shared" si="42"/>
        <v>0.94333424358242735</v>
      </c>
      <c r="BM295" s="3">
        <f t="shared" si="43"/>
        <v>-0.40236532414654252</v>
      </c>
      <c r="BN295" s="3">
        <f t="shared" si="44"/>
        <v>45.976346758534575</v>
      </c>
      <c r="BO295" s="2" t="str">
        <f t="shared" si="45"/>
        <v>C</v>
      </c>
    </row>
    <row r="296" spans="1:67" x14ac:dyDescent="0.35">
      <c r="A296" s="1">
        <v>295</v>
      </c>
      <c r="B296" s="12">
        <v>5550005</v>
      </c>
      <c r="C296" s="11">
        <v>23</v>
      </c>
      <c r="D296" s="11">
        <v>1</v>
      </c>
      <c r="E296" s="11">
        <v>1</v>
      </c>
      <c r="F296" s="11">
        <v>1</v>
      </c>
      <c r="G296" s="11">
        <v>1</v>
      </c>
      <c r="H296" s="11">
        <v>1</v>
      </c>
      <c r="I296" s="11">
        <v>0</v>
      </c>
      <c r="J296" s="11">
        <v>1</v>
      </c>
      <c r="K296" s="11">
        <v>1</v>
      </c>
      <c r="L296" s="11">
        <v>1</v>
      </c>
      <c r="M296" s="11">
        <v>1</v>
      </c>
      <c r="N296" s="11">
        <v>1</v>
      </c>
      <c r="O296" s="11">
        <v>1</v>
      </c>
      <c r="P296" s="11">
        <v>0</v>
      </c>
      <c r="Q296" s="11">
        <v>1</v>
      </c>
      <c r="R296" s="11">
        <v>0</v>
      </c>
      <c r="S296" s="11">
        <v>1</v>
      </c>
      <c r="T296" s="11">
        <v>1</v>
      </c>
      <c r="U296" s="11">
        <v>1</v>
      </c>
      <c r="V296" s="11">
        <v>0</v>
      </c>
      <c r="W296" s="11">
        <v>1</v>
      </c>
      <c r="X296" s="11">
        <v>0</v>
      </c>
      <c r="Y296" s="11">
        <v>0</v>
      </c>
      <c r="Z296" s="11">
        <v>0</v>
      </c>
      <c r="AA296" s="11">
        <v>1</v>
      </c>
      <c r="AB296" s="11">
        <v>0</v>
      </c>
      <c r="AC296" s="11">
        <v>1</v>
      </c>
      <c r="AD296" s="11">
        <v>0</v>
      </c>
      <c r="AE296" s="11">
        <v>1</v>
      </c>
      <c r="AF296" s="11">
        <v>0</v>
      </c>
      <c r="AG296" s="11">
        <v>0</v>
      </c>
      <c r="AH296" s="11">
        <v>1</v>
      </c>
      <c r="AI296" s="11">
        <v>0</v>
      </c>
      <c r="AJ296" s="11">
        <v>1</v>
      </c>
      <c r="AK296" s="11">
        <v>0</v>
      </c>
      <c r="AL296" s="11">
        <v>1</v>
      </c>
      <c r="AM296" s="11">
        <v>1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5">
        <f t="shared" si="46"/>
        <v>65.096042049456045</v>
      </c>
      <c r="BH296" s="3">
        <f t="shared" si="47"/>
        <v>16.624131061898449</v>
      </c>
      <c r="BI296" s="3">
        <f t="shared" si="48"/>
        <v>38.375868938101547</v>
      </c>
      <c r="BJ296" s="3">
        <f t="shared" si="40"/>
        <v>-0.8365735307666794</v>
      </c>
      <c r="BK296" s="3">
        <f t="shared" si="41"/>
        <v>-0.45609683602320777</v>
      </c>
      <c r="BL296" s="3">
        <f t="shared" si="42"/>
        <v>0.94333424358242735</v>
      </c>
      <c r="BM296" s="3">
        <f t="shared" si="43"/>
        <v>-0.40333179605413749</v>
      </c>
      <c r="BN296" s="3">
        <f t="shared" si="44"/>
        <v>45.966682039458625</v>
      </c>
      <c r="BO296" s="2" t="str">
        <f t="shared" si="45"/>
        <v>C</v>
      </c>
    </row>
    <row r="297" spans="1:67" x14ac:dyDescent="0.35">
      <c r="A297" s="15">
        <v>296</v>
      </c>
      <c r="B297" s="10" t="s">
        <v>283</v>
      </c>
      <c r="C297" s="11">
        <v>20</v>
      </c>
      <c r="D297" s="11">
        <v>1</v>
      </c>
      <c r="E297" s="11">
        <v>0</v>
      </c>
      <c r="F297" s="11">
        <v>1</v>
      </c>
      <c r="G297" s="11">
        <v>1</v>
      </c>
      <c r="H297" s="11">
        <v>1</v>
      </c>
      <c r="I297" s="11">
        <v>1</v>
      </c>
      <c r="J297" s="11">
        <v>1</v>
      </c>
      <c r="K297" s="11">
        <v>1</v>
      </c>
      <c r="L297" s="11">
        <v>1</v>
      </c>
      <c r="M297" s="11">
        <v>0</v>
      </c>
      <c r="N297" s="11">
        <v>0</v>
      </c>
      <c r="O297" s="11">
        <v>0</v>
      </c>
      <c r="P297" s="11">
        <v>0</v>
      </c>
      <c r="Q297" s="11">
        <v>1</v>
      </c>
      <c r="R297" s="11">
        <v>1</v>
      </c>
      <c r="S297" s="11">
        <v>1</v>
      </c>
      <c r="T297" s="11">
        <v>0</v>
      </c>
      <c r="U297" s="11">
        <v>1</v>
      </c>
      <c r="V297" s="11">
        <v>1</v>
      </c>
      <c r="W297" s="11">
        <v>0</v>
      </c>
      <c r="X297" s="11">
        <v>1</v>
      </c>
      <c r="Y297" s="11">
        <v>1</v>
      </c>
      <c r="Z297" s="11">
        <v>1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1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1</v>
      </c>
      <c r="BA297" s="11">
        <v>0</v>
      </c>
      <c r="BB297" s="11">
        <v>0</v>
      </c>
      <c r="BC297" s="11">
        <v>0</v>
      </c>
      <c r="BD297" s="11">
        <v>0</v>
      </c>
      <c r="BE297" s="11">
        <v>1</v>
      </c>
      <c r="BF297" s="11">
        <v>1</v>
      </c>
      <c r="BG297" s="5">
        <f t="shared" si="46"/>
        <v>64.91717932273643</v>
      </c>
      <c r="BH297" s="3">
        <f t="shared" si="47"/>
        <v>16.578453362956072</v>
      </c>
      <c r="BI297" s="3">
        <f t="shared" si="48"/>
        <v>38.421546637043932</v>
      </c>
      <c r="BJ297" s="3">
        <f t="shared" si="40"/>
        <v>-0.84051455050960511</v>
      </c>
      <c r="BK297" s="3">
        <f t="shared" si="41"/>
        <v>-0.45609683602320777</v>
      </c>
      <c r="BL297" s="3">
        <f t="shared" si="42"/>
        <v>0.94333424358242735</v>
      </c>
      <c r="BM297" s="3">
        <f t="shared" si="43"/>
        <v>-0.40750955146770035</v>
      </c>
      <c r="BN297" s="3">
        <f t="shared" si="44"/>
        <v>45.924904485322998</v>
      </c>
      <c r="BO297" s="2" t="str">
        <f t="shared" si="45"/>
        <v>C</v>
      </c>
    </row>
    <row r="298" spans="1:67" x14ac:dyDescent="0.35">
      <c r="A298" s="15">
        <v>297</v>
      </c>
      <c r="B298" s="12">
        <v>1618175</v>
      </c>
      <c r="C298" s="11">
        <v>23</v>
      </c>
      <c r="D298" s="11">
        <v>1</v>
      </c>
      <c r="E298" s="11">
        <v>1</v>
      </c>
      <c r="F298" s="11">
        <v>1</v>
      </c>
      <c r="G298" s="11">
        <v>1</v>
      </c>
      <c r="H298" s="11">
        <v>1</v>
      </c>
      <c r="I298" s="11">
        <v>1</v>
      </c>
      <c r="J298" s="11">
        <v>1</v>
      </c>
      <c r="K298" s="11">
        <v>1</v>
      </c>
      <c r="L298" s="11">
        <v>0</v>
      </c>
      <c r="M298" s="11">
        <v>1</v>
      </c>
      <c r="N298" s="11">
        <v>1</v>
      </c>
      <c r="O298" s="11">
        <v>1</v>
      </c>
      <c r="P298" s="11">
        <v>0</v>
      </c>
      <c r="Q298" s="11">
        <v>1</v>
      </c>
      <c r="R298" s="11">
        <v>0</v>
      </c>
      <c r="S298" s="11">
        <v>1</v>
      </c>
      <c r="T298" s="11">
        <v>1</v>
      </c>
      <c r="U298" s="11">
        <v>1</v>
      </c>
      <c r="V298" s="11">
        <v>0</v>
      </c>
      <c r="W298" s="11">
        <v>0</v>
      </c>
      <c r="X298" s="11">
        <v>0</v>
      </c>
      <c r="Y298" s="11">
        <v>1</v>
      </c>
      <c r="Z298" s="11">
        <v>0</v>
      </c>
      <c r="AA298" s="11">
        <v>0</v>
      </c>
      <c r="AB298" s="11">
        <v>0</v>
      </c>
      <c r="AC298" s="11">
        <v>1</v>
      </c>
      <c r="AD298" s="11">
        <v>0</v>
      </c>
      <c r="AE298" s="11">
        <v>1</v>
      </c>
      <c r="AF298" s="11">
        <v>1</v>
      </c>
      <c r="AG298" s="11">
        <v>1</v>
      </c>
      <c r="AH298" s="11">
        <v>1</v>
      </c>
      <c r="AI298" s="11">
        <v>0</v>
      </c>
      <c r="AJ298" s="11">
        <v>0</v>
      </c>
      <c r="AK298" s="11">
        <v>0</v>
      </c>
      <c r="AL298" s="11">
        <v>1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1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5">
        <f t="shared" si="46"/>
        <v>64.648440091473788</v>
      </c>
      <c r="BH298" s="3">
        <f t="shared" si="47"/>
        <v>16.509823135044677</v>
      </c>
      <c r="BI298" s="3">
        <f t="shared" si="48"/>
        <v>38.490176864955323</v>
      </c>
      <c r="BJ298" s="3">
        <f t="shared" si="40"/>
        <v>-0.84644751709463306</v>
      </c>
      <c r="BK298" s="3">
        <f t="shared" si="41"/>
        <v>-0.45609683602320777</v>
      </c>
      <c r="BL298" s="3">
        <f t="shared" si="42"/>
        <v>0.94333424358242735</v>
      </c>
      <c r="BM298" s="3">
        <f t="shared" si="43"/>
        <v>-0.41379890926997492</v>
      </c>
      <c r="BN298" s="3">
        <f t="shared" si="44"/>
        <v>45.862010907300252</v>
      </c>
      <c r="BO298" s="2" t="str">
        <f t="shared" si="45"/>
        <v>C</v>
      </c>
    </row>
    <row r="299" spans="1:67" x14ac:dyDescent="0.35">
      <c r="A299" s="1">
        <v>298</v>
      </c>
      <c r="B299" s="10" t="s">
        <v>284</v>
      </c>
      <c r="C299" s="11">
        <v>23</v>
      </c>
      <c r="D299" s="11">
        <v>1</v>
      </c>
      <c r="E299" s="11">
        <v>1</v>
      </c>
      <c r="F299" s="11">
        <v>1</v>
      </c>
      <c r="G299" s="11">
        <v>1</v>
      </c>
      <c r="H299" s="11">
        <v>1</v>
      </c>
      <c r="I299" s="11">
        <v>1</v>
      </c>
      <c r="J299" s="11">
        <v>1</v>
      </c>
      <c r="K299" s="11">
        <v>1</v>
      </c>
      <c r="L299" s="11">
        <v>1</v>
      </c>
      <c r="M299" s="11">
        <v>1</v>
      </c>
      <c r="N299" s="11">
        <v>0</v>
      </c>
      <c r="O299" s="11">
        <v>1</v>
      </c>
      <c r="P299" s="11">
        <v>1</v>
      </c>
      <c r="Q299" s="11">
        <v>1</v>
      </c>
      <c r="R299" s="11">
        <v>1</v>
      </c>
      <c r="S299" s="11">
        <v>1</v>
      </c>
      <c r="T299" s="11">
        <v>1</v>
      </c>
      <c r="U299" s="11">
        <v>0</v>
      </c>
      <c r="V299" s="11">
        <v>0</v>
      </c>
      <c r="W299" s="11">
        <v>1</v>
      </c>
      <c r="X299" s="11">
        <v>0</v>
      </c>
      <c r="Y299" s="11">
        <v>0</v>
      </c>
      <c r="Z299" s="11">
        <v>1</v>
      </c>
      <c r="AA299" s="11">
        <v>0</v>
      </c>
      <c r="AB299" s="11">
        <v>0</v>
      </c>
      <c r="AC299" s="11">
        <v>1</v>
      </c>
      <c r="AD299" s="11">
        <v>1</v>
      </c>
      <c r="AE299" s="11">
        <v>0</v>
      </c>
      <c r="AF299" s="11">
        <v>1</v>
      </c>
      <c r="AG299" s="11">
        <v>1</v>
      </c>
      <c r="AH299" s="11">
        <v>0</v>
      </c>
      <c r="AI299" s="11">
        <v>0</v>
      </c>
      <c r="AJ299" s="11">
        <v>0</v>
      </c>
      <c r="AK299" s="11">
        <v>0</v>
      </c>
      <c r="AL299" s="11">
        <v>1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5">
        <f t="shared" si="46"/>
        <v>64.628644386693566</v>
      </c>
      <c r="BH299" s="3">
        <f t="shared" si="47"/>
        <v>16.504767737199149</v>
      </c>
      <c r="BI299" s="3">
        <f t="shared" si="48"/>
        <v>38.495232262800855</v>
      </c>
      <c r="BJ299" s="3">
        <f t="shared" si="40"/>
        <v>-0.84688510335833533</v>
      </c>
      <c r="BK299" s="3">
        <f t="shared" si="41"/>
        <v>-0.45609683602320777</v>
      </c>
      <c r="BL299" s="3">
        <f t="shared" si="42"/>
        <v>0.94333424358242735</v>
      </c>
      <c r="BM299" s="3">
        <f t="shared" si="43"/>
        <v>-0.41426278118672044</v>
      </c>
      <c r="BN299" s="3">
        <f t="shared" si="44"/>
        <v>45.857372188132793</v>
      </c>
      <c r="BO299" s="2" t="str">
        <f t="shared" si="45"/>
        <v>C</v>
      </c>
    </row>
    <row r="300" spans="1:67" x14ac:dyDescent="0.35">
      <c r="A300" s="15">
        <v>299</v>
      </c>
      <c r="B300" s="10" t="s">
        <v>285</v>
      </c>
      <c r="C300" s="11">
        <v>21</v>
      </c>
      <c r="D300" s="11">
        <v>0</v>
      </c>
      <c r="E300" s="11">
        <v>1</v>
      </c>
      <c r="F300" s="11">
        <v>1</v>
      </c>
      <c r="G300" s="11">
        <v>1</v>
      </c>
      <c r="H300" s="11">
        <v>1</v>
      </c>
      <c r="I300" s="11">
        <v>0</v>
      </c>
      <c r="J300" s="11">
        <v>1</v>
      </c>
      <c r="K300" s="11">
        <v>1</v>
      </c>
      <c r="L300" s="11">
        <v>1</v>
      </c>
      <c r="M300" s="11">
        <v>1</v>
      </c>
      <c r="N300" s="11">
        <v>0</v>
      </c>
      <c r="O300" s="11">
        <v>1</v>
      </c>
      <c r="P300" s="11">
        <v>1</v>
      </c>
      <c r="Q300" s="11">
        <v>1</v>
      </c>
      <c r="R300" s="11">
        <v>0</v>
      </c>
      <c r="S300" s="11">
        <v>1</v>
      </c>
      <c r="T300" s="11">
        <v>1</v>
      </c>
      <c r="U300" s="11">
        <v>1</v>
      </c>
      <c r="V300" s="11">
        <v>0</v>
      </c>
      <c r="W300" s="11">
        <v>1</v>
      </c>
      <c r="X300" s="11">
        <v>0</v>
      </c>
      <c r="Y300" s="11">
        <v>0</v>
      </c>
      <c r="Z300" s="11">
        <v>0</v>
      </c>
      <c r="AA300" s="11">
        <v>1</v>
      </c>
      <c r="AB300" s="11">
        <v>0</v>
      </c>
      <c r="AC300" s="11">
        <v>0</v>
      </c>
      <c r="AD300" s="11">
        <v>1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1</v>
      </c>
      <c r="AL300" s="11">
        <v>0</v>
      </c>
      <c r="AM300" s="11">
        <v>1</v>
      </c>
      <c r="AN300" s="11">
        <v>1</v>
      </c>
      <c r="AO300" s="11">
        <v>0</v>
      </c>
      <c r="AP300" s="11">
        <v>1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5">
        <f t="shared" si="46"/>
        <v>64.518219901413786</v>
      </c>
      <c r="BH300" s="3">
        <f t="shared" si="47"/>
        <v>16.476567695262052</v>
      </c>
      <c r="BI300" s="3">
        <f t="shared" si="48"/>
        <v>38.523432304737952</v>
      </c>
      <c r="BJ300" s="3">
        <f t="shared" si="40"/>
        <v>-0.84932745557336542</v>
      </c>
      <c r="BK300" s="3">
        <f t="shared" si="41"/>
        <v>-0.45609683602320777</v>
      </c>
      <c r="BL300" s="3">
        <f t="shared" si="42"/>
        <v>0.94333424358242735</v>
      </c>
      <c r="BM300" s="3">
        <f t="shared" si="43"/>
        <v>-0.41685184464078839</v>
      </c>
      <c r="BN300" s="3">
        <f t="shared" si="44"/>
        <v>45.831481553592113</v>
      </c>
      <c r="BO300" s="2" t="str">
        <f t="shared" si="45"/>
        <v>C</v>
      </c>
    </row>
    <row r="301" spans="1:67" x14ac:dyDescent="0.35">
      <c r="A301" s="15">
        <v>300</v>
      </c>
      <c r="B301" s="12">
        <v>5957042</v>
      </c>
      <c r="C301" s="11">
        <v>22</v>
      </c>
      <c r="D301" s="11">
        <v>1</v>
      </c>
      <c r="E301" s="11">
        <v>1</v>
      </c>
      <c r="F301" s="11">
        <v>1</v>
      </c>
      <c r="G301" s="11">
        <v>1</v>
      </c>
      <c r="H301" s="11">
        <v>1</v>
      </c>
      <c r="I301" s="11">
        <v>1</v>
      </c>
      <c r="J301" s="11">
        <v>0</v>
      </c>
      <c r="K301" s="11">
        <v>1</v>
      </c>
      <c r="L301" s="11">
        <v>1</v>
      </c>
      <c r="M301" s="11">
        <v>1</v>
      </c>
      <c r="N301" s="11">
        <v>1</v>
      </c>
      <c r="O301" s="11">
        <v>1</v>
      </c>
      <c r="P301" s="11">
        <v>0</v>
      </c>
      <c r="Q301" s="11">
        <v>1</v>
      </c>
      <c r="R301" s="11">
        <v>0</v>
      </c>
      <c r="S301" s="11">
        <v>0</v>
      </c>
      <c r="T301" s="11">
        <v>1</v>
      </c>
      <c r="U301" s="11">
        <v>0</v>
      </c>
      <c r="V301" s="11">
        <v>0</v>
      </c>
      <c r="W301" s="11">
        <v>0</v>
      </c>
      <c r="X301" s="11">
        <v>1</v>
      </c>
      <c r="Y301" s="11">
        <v>0</v>
      </c>
      <c r="Z301" s="11">
        <v>1</v>
      </c>
      <c r="AA301" s="11">
        <v>1</v>
      </c>
      <c r="AB301" s="11">
        <v>0</v>
      </c>
      <c r="AC301" s="11">
        <v>0</v>
      </c>
      <c r="AD301" s="11">
        <v>0</v>
      </c>
      <c r="AE301" s="11">
        <v>1</v>
      </c>
      <c r="AF301" s="11">
        <v>1</v>
      </c>
      <c r="AG301" s="11">
        <v>0</v>
      </c>
      <c r="AH301" s="11">
        <v>1</v>
      </c>
      <c r="AI301" s="11">
        <v>1</v>
      </c>
      <c r="AJ301" s="11">
        <v>0</v>
      </c>
      <c r="AK301" s="11">
        <v>0</v>
      </c>
      <c r="AL301" s="11">
        <v>0</v>
      </c>
      <c r="AM301" s="11">
        <v>1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1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5">
        <f t="shared" si="46"/>
        <v>64.446412714411707</v>
      </c>
      <c r="BH301" s="3">
        <f t="shared" si="47"/>
        <v>16.45822968191553</v>
      </c>
      <c r="BI301" s="3">
        <f t="shared" si="48"/>
        <v>38.541770318084474</v>
      </c>
      <c r="BJ301" s="3">
        <f t="shared" si="40"/>
        <v>-0.85091695976926607</v>
      </c>
      <c r="BK301" s="3">
        <f t="shared" si="41"/>
        <v>-0.45609683602320777</v>
      </c>
      <c r="BL301" s="3">
        <f t="shared" si="42"/>
        <v>0.94333424358242735</v>
      </c>
      <c r="BM301" s="3">
        <f t="shared" si="43"/>
        <v>-0.41853682979500512</v>
      </c>
      <c r="BN301" s="3">
        <f t="shared" si="44"/>
        <v>45.814631702049951</v>
      </c>
      <c r="BO301" s="2" t="str">
        <f t="shared" si="45"/>
        <v>C</v>
      </c>
    </row>
    <row r="302" spans="1:67" x14ac:dyDescent="0.35">
      <c r="A302" s="1">
        <v>301</v>
      </c>
      <c r="B302" s="10" t="s">
        <v>286</v>
      </c>
      <c r="C302" s="11">
        <v>21</v>
      </c>
      <c r="D302" s="11">
        <v>0</v>
      </c>
      <c r="E302" s="11">
        <v>1</v>
      </c>
      <c r="F302" s="11">
        <v>1</v>
      </c>
      <c r="G302" s="11">
        <v>1</v>
      </c>
      <c r="H302" s="11">
        <v>1</v>
      </c>
      <c r="I302" s="11">
        <v>1</v>
      </c>
      <c r="J302" s="11">
        <v>1</v>
      </c>
      <c r="K302" s="11">
        <v>1</v>
      </c>
      <c r="L302" s="11">
        <v>0</v>
      </c>
      <c r="M302" s="11">
        <v>1</v>
      </c>
      <c r="N302" s="11">
        <v>1</v>
      </c>
      <c r="O302" s="11">
        <v>0</v>
      </c>
      <c r="P302" s="11">
        <v>1</v>
      </c>
      <c r="Q302" s="11">
        <v>1</v>
      </c>
      <c r="R302" s="11">
        <v>1</v>
      </c>
      <c r="S302" s="11">
        <v>0</v>
      </c>
      <c r="T302" s="11">
        <v>1</v>
      </c>
      <c r="U302" s="11">
        <v>0</v>
      </c>
      <c r="V302" s="11">
        <v>0</v>
      </c>
      <c r="W302" s="11">
        <v>0</v>
      </c>
      <c r="X302" s="11">
        <v>1</v>
      </c>
      <c r="Y302" s="11">
        <v>0</v>
      </c>
      <c r="Z302" s="11">
        <v>0</v>
      </c>
      <c r="AA302" s="11">
        <v>1</v>
      </c>
      <c r="AB302" s="11">
        <v>0</v>
      </c>
      <c r="AC302" s="11">
        <v>1</v>
      </c>
      <c r="AD302" s="11">
        <v>0</v>
      </c>
      <c r="AE302" s="11">
        <v>1</v>
      </c>
      <c r="AF302" s="11">
        <v>0</v>
      </c>
      <c r="AG302" s="11">
        <v>1</v>
      </c>
      <c r="AH302" s="11">
        <v>1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1</v>
      </c>
      <c r="AP302" s="11">
        <v>1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5">
        <f t="shared" si="46"/>
        <v>64.332446880498239</v>
      </c>
      <c r="BH302" s="3">
        <f t="shared" si="47"/>
        <v>16.429125255595466</v>
      </c>
      <c r="BI302" s="3">
        <f t="shared" si="48"/>
        <v>38.570874744404534</v>
      </c>
      <c r="BJ302" s="3">
        <f t="shared" si="40"/>
        <v>-0.85344176141169115</v>
      </c>
      <c r="BK302" s="3">
        <f t="shared" si="41"/>
        <v>-0.45609683602320777</v>
      </c>
      <c r="BL302" s="3">
        <f t="shared" si="42"/>
        <v>0.94333424358242735</v>
      </c>
      <c r="BM302" s="3">
        <f t="shared" si="43"/>
        <v>-0.42121329538458963</v>
      </c>
      <c r="BN302" s="3">
        <f t="shared" si="44"/>
        <v>45.787867046154105</v>
      </c>
      <c r="BO302" s="2" t="str">
        <f t="shared" si="45"/>
        <v>C</v>
      </c>
    </row>
    <row r="303" spans="1:67" x14ac:dyDescent="0.35">
      <c r="A303" s="15">
        <v>302</v>
      </c>
      <c r="B303" s="10" t="s">
        <v>287</v>
      </c>
      <c r="C303" s="11">
        <v>23</v>
      </c>
      <c r="D303" s="11">
        <v>1</v>
      </c>
      <c r="E303" s="11">
        <v>1</v>
      </c>
      <c r="F303" s="11">
        <v>1</v>
      </c>
      <c r="G303" s="11">
        <v>1</v>
      </c>
      <c r="H303" s="11">
        <v>1</v>
      </c>
      <c r="I303" s="11">
        <v>1</v>
      </c>
      <c r="J303" s="11">
        <v>1</v>
      </c>
      <c r="K303" s="11">
        <v>1</v>
      </c>
      <c r="L303" s="11">
        <v>1</v>
      </c>
      <c r="M303" s="11">
        <v>1</v>
      </c>
      <c r="N303" s="11">
        <v>1</v>
      </c>
      <c r="O303" s="11">
        <v>1</v>
      </c>
      <c r="P303" s="11">
        <v>1</v>
      </c>
      <c r="Q303" s="11">
        <v>1</v>
      </c>
      <c r="R303" s="11">
        <v>0</v>
      </c>
      <c r="S303" s="11">
        <v>1</v>
      </c>
      <c r="T303" s="11">
        <v>1</v>
      </c>
      <c r="U303" s="11">
        <v>0</v>
      </c>
      <c r="V303" s="11">
        <v>0</v>
      </c>
      <c r="W303" s="11">
        <v>0</v>
      </c>
      <c r="X303" s="11">
        <v>0</v>
      </c>
      <c r="Y303" s="11">
        <v>1</v>
      </c>
      <c r="Z303" s="11">
        <v>0</v>
      </c>
      <c r="AA303" s="11">
        <v>0</v>
      </c>
      <c r="AB303" s="11">
        <v>0</v>
      </c>
      <c r="AC303" s="11">
        <v>1</v>
      </c>
      <c r="AD303" s="11">
        <v>1</v>
      </c>
      <c r="AE303" s="11">
        <v>1</v>
      </c>
      <c r="AF303" s="11">
        <v>0</v>
      </c>
      <c r="AG303" s="11">
        <v>1</v>
      </c>
      <c r="AH303" s="11">
        <v>1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1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5">
        <f t="shared" si="46"/>
        <v>64.222550877287389</v>
      </c>
      <c r="BH303" s="3">
        <f t="shared" si="47"/>
        <v>16.401060176628484</v>
      </c>
      <c r="BI303" s="3">
        <f t="shared" si="48"/>
        <v>38.598939823371516</v>
      </c>
      <c r="BJ303" s="3">
        <f t="shared" si="40"/>
        <v>-0.85587883272070064</v>
      </c>
      <c r="BK303" s="3">
        <f t="shared" si="41"/>
        <v>-0.45609683602320777</v>
      </c>
      <c r="BL303" s="3">
        <f t="shared" si="42"/>
        <v>0.94333424358242735</v>
      </c>
      <c r="BM303" s="3">
        <f t="shared" si="43"/>
        <v>-0.42379676071046862</v>
      </c>
      <c r="BN303" s="3">
        <f t="shared" si="44"/>
        <v>45.762032392895314</v>
      </c>
      <c r="BO303" s="2" t="str">
        <f t="shared" si="45"/>
        <v>C</v>
      </c>
    </row>
    <row r="304" spans="1:67" x14ac:dyDescent="0.35">
      <c r="A304" s="15">
        <v>303</v>
      </c>
      <c r="B304" s="12">
        <v>2022307</v>
      </c>
      <c r="C304" s="11">
        <v>22</v>
      </c>
      <c r="D304" s="11">
        <v>0</v>
      </c>
      <c r="E304" s="11">
        <v>1</v>
      </c>
      <c r="F304" s="11">
        <v>1</v>
      </c>
      <c r="G304" s="11">
        <v>1</v>
      </c>
      <c r="H304" s="11">
        <v>1</v>
      </c>
      <c r="I304" s="11">
        <v>1</v>
      </c>
      <c r="J304" s="11">
        <v>1</v>
      </c>
      <c r="K304" s="11">
        <v>1</v>
      </c>
      <c r="L304" s="11">
        <v>1</v>
      </c>
      <c r="M304" s="11">
        <v>1</v>
      </c>
      <c r="N304" s="11">
        <v>0</v>
      </c>
      <c r="O304" s="11">
        <v>1</v>
      </c>
      <c r="P304" s="11">
        <v>0</v>
      </c>
      <c r="Q304" s="11">
        <v>1</v>
      </c>
      <c r="R304" s="11">
        <v>0</v>
      </c>
      <c r="S304" s="11">
        <v>1</v>
      </c>
      <c r="T304" s="11">
        <v>1</v>
      </c>
      <c r="U304" s="11">
        <v>1</v>
      </c>
      <c r="V304" s="11">
        <v>1</v>
      </c>
      <c r="W304" s="11">
        <v>1</v>
      </c>
      <c r="X304" s="11">
        <v>1</v>
      </c>
      <c r="Y304" s="11">
        <v>0</v>
      </c>
      <c r="Z304" s="11">
        <v>1</v>
      </c>
      <c r="AA304" s="11">
        <v>0</v>
      </c>
      <c r="AB304" s="11">
        <v>0</v>
      </c>
      <c r="AC304" s="11">
        <v>1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1</v>
      </c>
      <c r="AU304" s="11">
        <v>0</v>
      </c>
      <c r="AV304" s="11">
        <v>0</v>
      </c>
      <c r="AW304" s="11">
        <v>1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1</v>
      </c>
      <c r="BD304" s="11">
        <v>0</v>
      </c>
      <c r="BE304" s="11">
        <v>0</v>
      </c>
      <c r="BF304" s="11">
        <v>0</v>
      </c>
      <c r="BG304" s="5">
        <f t="shared" si="46"/>
        <v>64.127584545927078</v>
      </c>
      <c r="BH304" s="3">
        <f t="shared" si="47"/>
        <v>16.376807815205311</v>
      </c>
      <c r="BI304" s="3">
        <f t="shared" si="48"/>
        <v>38.623192184794689</v>
      </c>
      <c r="BJ304" s="3">
        <f t="shared" si="40"/>
        <v>-0.8579867534892448</v>
      </c>
      <c r="BK304" s="3">
        <f t="shared" si="41"/>
        <v>-0.45609683602320777</v>
      </c>
      <c r="BL304" s="3">
        <f t="shared" si="42"/>
        <v>0.94333424358242735</v>
      </c>
      <c r="BM304" s="3">
        <f t="shared" si="43"/>
        <v>-0.42603130353861729</v>
      </c>
      <c r="BN304" s="3">
        <f t="shared" si="44"/>
        <v>45.739686964613824</v>
      </c>
      <c r="BO304" s="2" t="str">
        <f t="shared" si="45"/>
        <v>C</v>
      </c>
    </row>
    <row r="305" spans="1:67" x14ac:dyDescent="0.35">
      <c r="A305" s="1">
        <v>304</v>
      </c>
      <c r="B305" s="10" t="s">
        <v>288</v>
      </c>
      <c r="C305" s="11">
        <v>20</v>
      </c>
      <c r="D305" s="11">
        <v>1</v>
      </c>
      <c r="E305" s="11">
        <v>1</v>
      </c>
      <c r="F305" s="11">
        <v>1</v>
      </c>
      <c r="G305" s="11">
        <v>1</v>
      </c>
      <c r="H305" s="11">
        <v>1</v>
      </c>
      <c r="I305" s="11">
        <v>0</v>
      </c>
      <c r="J305" s="11">
        <v>1</v>
      </c>
      <c r="K305" s="11">
        <v>0</v>
      </c>
      <c r="L305" s="11">
        <v>1</v>
      </c>
      <c r="M305" s="11">
        <v>1</v>
      </c>
      <c r="N305" s="11">
        <v>0</v>
      </c>
      <c r="O305" s="11">
        <v>0</v>
      </c>
      <c r="P305" s="11">
        <v>1</v>
      </c>
      <c r="Q305" s="11">
        <v>0</v>
      </c>
      <c r="R305" s="11">
        <v>1</v>
      </c>
      <c r="S305" s="11">
        <v>1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1</v>
      </c>
      <c r="Z305" s="11">
        <v>1</v>
      </c>
      <c r="AA305" s="11">
        <v>0</v>
      </c>
      <c r="AB305" s="11">
        <v>0</v>
      </c>
      <c r="AC305" s="11">
        <v>1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1</v>
      </c>
      <c r="AJ305" s="11">
        <v>1</v>
      </c>
      <c r="AK305" s="11">
        <v>1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1</v>
      </c>
      <c r="AX305" s="11">
        <v>0</v>
      </c>
      <c r="AY305" s="11">
        <v>0</v>
      </c>
      <c r="AZ305" s="11">
        <v>0</v>
      </c>
      <c r="BA305" s="11">
        <v>0</v>
      </c>
      <c r="BB305" s="11">
        <v>0</v>
      </c>
      <c r="BC305" s="11">
        <v>1</v>
      </c>
      <c r="BD305" s="11">
        <v>1</v>
      </c>
      <c r="BE305" s="11">
        <v>0</v>
      </c>
      <c r="BF305" s="11">
        <v>0</v>
      </c>
      <c r="BG305" s="5">
        <f t="shared" si="46"/>
        <v>64.038423388246784</v>
      </c>
      <c r="BH305" s="3">
        <f t="shared" si="47"/>
        <v>16.354037970461423</v>
      </c>
      <c r="BI305" s="3">
        <f t="shared" si="48"/>
        <v>38.64596202953858</v>
      </c>
      <c r="BJ305" s="3">
        <f t="shared" si="40"/>
        <v>-0.85996745675104402</v>
      </c>
      <c r="BK305" s="3">
        <f t="shared" si="41"/>
        <v>-0.45609683602320777</v>
      </c>
      <c r="BL305" s="3">
        <f t="shared" si="42"/>
        <v>0.94333424358242735</v>
      </c>
      <c r="BM305" s="3">
        <f t="shared" si="43"/>
        <v>-0.42813098694910945</v>
      </c>
      <c r="BN305" s="3">
        <f t="shared" si="44"/>
        <v>45.718690130508904</v>
      </c>
      <c r="BO305" s="2" t="str">
        <f t="shared" si="45"/>
        <v>C</v>
      </c>
    </row>
    <row r="306" spans="1:67" x14ac:dyDescent="0.35">
      <c r="A306" s="15">
        <v>305</v>
      </c>
      <c r="B306" s="12">
        <v>1718280</v>
      </c>
      <c r="C306" s="11">
        <v>21</v>
      </c>
      <c r="D306" s="11">
        <v>1</v>
      </c>
      <c r="E306" s="11">
        <v>0</v>
      </c>
      <c r="F306" s="11">
        <v>0</v>
      </c>
      <c r="G306" s="11">
        <v>1</v>
      </c>
      <c r="H306" s="11">
        <v>1</v>
      </c>
      <c r="I306" s="11">
        <v>1</v>
      </c>
      <c r="J306" s="11">
        <v>1</v>
      </c>
      <c r="K306" s="11">
        <v>1</v>
      </c>
      <c r="L306" s="11">
        <v>1</v>
      </c>
      <c r="M306" s="11">
        <v>1</v>
      </c>
      <c r="N306" s="11">
        <v>1</v>
      </c>
      <c r="O306" s="11">
        <v>1</v>
      </c>
      <c r="P306" s="11">
        <v>1</v>
      </c>
      <c r="Q306" s="11">
        <v>1</v>
      </c>
      <c r="R306" s="11">
        <v>0</v>
      </c>
      <c r="S306" s="11">
        <v>1</v>
      </c>
      <c r="T306" s="11">
        <v>0</v>
      </c>
      <c r="U306" s="11">
        <v>0</v>
      </c>
      <c r="V306" s="11">
        <v>0</v>
      </c>
      <c r="W306" s="11">
        <v>1</v>
      </c>
      <c r="X306" s="11">
        <v>0</v>
      </c>
      <c r="Y306" s="11">
        <v>0</v>
      </c>
      <c r="Z306" s="11">
        <v>0</v>
      </c>
      <c r="AA306" s="11">
        <v>1</v>
      </c>
      <c r="AB306" s="11">
        <v>1</v>
      </c>
      <c r="AC306" s="11">
        <v>1</v>
      </c>
      <c r="AD306" s="11">
        <v>1</v>
      </c>
      <c r="AE306" s="11">
        <v>0</v>
      </c>
      <c r="AF306" s="11">
        <v>0</v>
      </c>
      <c r="AG306" s="11">
        <v>1</v>
      </c>
      <c r="AH306" s="11">
        <v>1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AZ306" s="11">
        <v>1</v>
      </c>
      <c r="BA306" s="11">
        <v>0</v>
      </c>
      <c r="BB306" s="11">
        <v>0</v>
      </c>
      <c r="BC306" s="11">
        <v>0</v>
      </c>
      <c r="BD306" s="11">
        <v>0</v>
      </c>
      <c r="BE306" s="11">
        <v>0</v>
      </c>
      <c r="BF306" s="11">
        <v>0</v>
      </c>
      <c r="BG306" s="5">
        <f t="shared" si="46"/>
        <v>63.946534055295558</v>
      </c>
      <c r="BH306" s="3">
        <f t="shared" si="47"/>
        <v>16.330571408346767</v>
      </c>
      <c r="BI306" s="3">
        <f t="shared" si="48"/>
        <v>38.669428591653229</v>
      </c>
      <c r="BJ306" s="3">
        <f t="shared" si="40"/>
        <v>-0.86201043128602428</v>
      </c>
      <c r="BK306" s="3">
        <f t="shared" si="41"/>
        <v>-0.45609683602320777</v>
      </c>
      <c r="BL306" s="3">
        <f t="shared" si="42"/>
        <v>0.94333424358242735</v>
      </c>
      <c r="BM306" s="3">
        <f t="shared" si="43"/>
        <v>-0.43029668224627349</v>
      </c>
      <c r="BN306" s="3">
        <f t="shared" si="44"/>
        <v>45.697033177537264</v>
      </c>
      <c r="BO306" s="2" t="str">
        <f t="shared" si="45"/>
        <v>C</v>
      </c>
    </row>
    <row r="307" spans="1:67" x14ac:dyDescent="0.35">
      <c r="A307" s="15">
        <v>306</v>
      </c>
      <c r="B307" s="10" t="s">
        <v>289</v>
      </c>
      <c r="C307" s="11">
        <v>22</v>
      </c>
      <c r="D307" s="11">
        <v>1</v>
      </c>
      <c r="E307" s="11">
        <v>1</v>
      </c>
      <c r="F307" s="11">
        <v>1</v>
      </c>
      <c r="G307" s="11">
        <v>1</v>
      </c>
      <c r="H307" s="11">
        <v>1</v>
      </c>
      <c r="I307" s="11">
        <v>1</v>
      </c>
      <c r="J307" s="11">
        <v>1</v>
      </c>
      <c r="K307" s="11">
        <v>1</v>
      </c>
      <c r="L307" s="11">
        <v>1</v>
      </c>
      <c r="M307" s="11">
        <v>1</v>
      </c>
      <c r="N307" s="11">
        <v>0</v>
      </c>
      <c r="O307" s="11">
        <v>1</v>
      </c>
      <c r="P307" s="11">
        <v>0</v>
      </c>
      <c r="Q307" s="11">
        <v>1</v>
      </c>
      <c r="R307" s="11">
        <v>0</v>
      </c>
      <c r="S307" s="11">
        <v>0</v>
      </c>
      <c r="T307" s="11">
        <v>1</v>
      </c>
      <c r="U307" s="11">
        <v>1</v>
      </c>
      <c r="V307" s="11">
        <v>1</v>
      </c>
      <c r="W307" s="11">
        <v>0</v>
      </c>
      <c r="X307" s="11">
        <v>0</v>
      </c>
      <c r="Y307" s="11">
        <v>1</v>
      </c>
      <c r="Z307" s="11">
        <v>0</v>
      </c>
      <c r="AA307" s="11">
        <v>0</v>
      </c>
      <c r="AB307" s="11">
        <v>0</v>
      </c>
      <c r="AC307" s="11">
        <v>1</v>
      </c>
      <c r="AD307" s="11">
        <v>0</v>
      </c>
      <c r="AE307" s="11">
        <v>1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1</v>
      </c>
      <c r="AN307" s="11">
        <v>1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  <c r="AX307" s="11">
        <v>0</v>
      </c>
      <c r="AY307" s="11">
        <v>0</v>
      </c>
      <c r="AZ307" s="11">
        <v>0</v>
      </c>
      <c r="BA307" s="11">
        <v>1</v>
      </c>
      <c r="BB307" s="11">
        <v>1</v>
      </c>
      <c r="BC307" s="11">
        <v>0</v>
      </c>
      <c r="BD307" s="11">
        <v>0</v>
      </c>
      <c r="BE307" s="11">
        <v>0</v>
      </c>
      <c r="BF307" s="11">
        <v>0</v>
      </c>
      <c r="BG307" s="5">
        <f t="shared" si="46"/>
        <v>63.860576245297814</v>
      </c>
      <c r="BH307" s="3">
        <f t="shared" si="47"/>
        <v>16.308619629802219</v>
      </c>
      <c r="BI307" s="3">
        <f t="shared" si="48"/>
        <v>38.691380370197777</v>
      </c>
      <c r="BJ307" s="3">
        <f t="shared" si="40"/>
        <v>-0.86392306609017411</v>
      </c>
      <c r="BK307" s="3">
        <f t="shared" si="41"/>
        <v>-0.45609683602320777</v>
      </c>
      <c r="BL307" s="3">
        <f t="shared" si="42"/>
        <v>0.94333424358242735</v>
      </c>
      <c r="BM307" s="3">
        <f t="shared" si="43"/>
        <v>-0.43232420835079227</v>
      </c>
      <c r="BN307" s="3">
        <f t="shared" si="44"/>
        <v>45.676757916492079</v>
      </c>
      <c r="BO307" s="2" t="str">
        <f t="shared" si="45"/>
        <v>C</v>
      </c>
    </row>
    <row r="308" spans="1:67" x14ac:dyDescent="0.35">
      <c r="A308" s="1">
        <v>307</v>
      </c>
      <c r="B308" s="10" t="s">
        <v>290</v>
      </c>
      <c r="C308" s="11">
        <v>22</v>
      </c>
      <c r="D308" s="11">
        <v>1</v>
      </c>
      <c r="E308" s="11">
        <v>1</v>
      </c>
      <c r="F308" s="11">
        <v>1</v>
      </c>
      <c r="G308" s="11">
        <v>1</v>
      </c>
      <c r="H308" s="11">
        <v>1</v>
      </c>
      <c r="I308" s="11">
        <v>1</v>
      </c>
      <c r="J308" s="11">
        <v>1</v>
      </c>
      <c r="K308" s="11">
        <v>1</v>
      </c>
      <c r="L308" s="11">
        <v>1</v>
      </c>
      <c r="M308" s="11">
        <v>1</v>
      </c>
      <c r="N308" s="11">
        <v>1</v>
      </c>
      <c r="O308" s="11">
        <v>1</v>
      </c>
      <c r="P308" s="11">
        <v>0</v>
      </c>
      <c r="Q308" s="11">
        <v>1</v>
      </c>
      <c r="R308" s="11">
        <v>1</v>
      </c>
      <c r="S308" s="11">
        <v>0</v>
      </c>
      <c r="T308" s="11">
        <v>0</v>
      </c>
      <c r="U308" s="11">
        <v>1</v>
      </c>
      <c r="V308" s="11">
        <v>0</v>
      </c>
      <c r="W308" s="11">
        <v>1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1</v>
      </c>
      <c r="AF308" s="11">
        <v>0</v>
      </c>
      <c r="AG308" s="11">
        <v>0</v>
      </c>
      <c r="AH308" s="11">
        <v>0</v>
      </c>
      <c r="AI308" s="11">
        <v>0</v>
      </c>
      <c r="AJ308" s="11">
        <v>1</v>
      </c>
      <c r="AK308" s="11">
        <v>1</v>
      </c>
      <c r="AL308" s="11">
        <v>1</v>
      </c>
      <c r="AM308" s="11">
        <v>1</v>
      </c>
      <c r="AN308" s="11">
        <v>0</v>
      </c>
      <c r="AO308" s="11">
        <v>0</v>
      </c>
      <c r="AP308" s="11">
        <v>0</v>
      </c>
      <c r="AQ308" s="11">
        <v>0</v>
      </c>
      <c r="AR308" s="11">
        <v>1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5">
        <f t="shared" si="46"/>
        <v>63.856830848456092</v>
      </c>
      <c r="BH308" s="3">
        <f t="shared" si="47"/>
        <v>16.3076631358893</v>
      </c>
      <c r="BI308" s="3">
        <f t="shared" si="48"/>
        <v>38.6923368641107</v>
      </c>
      <c r="BJ308" s="3">
        <f t="shared" si="40"/>
        <v>-0.86400643820923839</v>
      </c>
      <c r="BK308" s="3">
        <f t="shared" si="41"/>
        <v>-0.45609683602320777</v>
      </c>
      <c r="BL308" s="3">
        <f t="shared" si="42"/>
        <v>0.94333424358242735</v>
      </c>
      <c r="BM308" s="3">
        <f t="shared" si="43"/>
        <v>-0.43241258860374232</v>
      </c>
      <c r="BN308" s="3">
        <f t="shared" si="44"/>
        <v>45.675874113962578</v>
      </c>
      <c r="BO308" s="2" t="str">
        <f t="shared" si="45"/>
        <v>C</v>
      </c>
    </row>
    <row r="309" spans="1:67" x14ac:dyDescent="0.35">
      <c r="A309" s="15">
        <v>308</v>
      </c>
      <c r="B309" s="12">
        <v>3140547</v>
      </c>
      <c r="C309" s="11">
        <v>22</v>
      </c>
      <c r="D309" s="11">
        <v>1</v>
      </c>
      <c r="E309" s="11">
        <v>1</v>
      </c>
      <c r="F309" s="11">
        <v>1</v>
      </c>
      <c r="G309" s="11">
        <v>1</v>
      </c>
      <c r="H309" s="11">
        <v>1</v>
      </c>
      <c r="I309" s="11">
        <v>1</v>
      </c>
      <c r="J309" s="11">
        <v>1</v>
      </c>
      <c r="K309" s="11">
        <v>1</v>
      </c>
      <c r="L309" s="11">
        <v>0</v>
      </c>
      <c r="M309" s="11">
        <v>1</v>
      </c>
      <c r="N309" s="11">
        <v>0</v>
      </c>
      <c r="O309" s="11">
        <v>0</v>
      </c>
      <c r="P309" s="11">
        <v>1</v>
      </c>
      <c r="Q309" s="11">
        <v>1</v>
      </c>
      <c r="R309" s="11">
        <v>0</v>
      </c>
      <c r="S309" s="11">
        <v>1</v>
      </c>
      <c r="T309" s="11">
        <v>1</v>
      </c>
      <c r="U309" s="11">
        <v>1</v>
      </c>
      <c r="V309" s="11">
        <v>1</v>
      </c>
      <c r="W309" s="11">
        <v>0</v>
      </c>
      <c r="X309" s="11">
        <v>0</v>
      </c>
      <c r="Y309" s="11">
        <v>1</v>
      </c>
      <c r="Z309" s="11">
        <v>0</v>
      </c>
      <c r="AA309" s="11">
        <v>0</v>
      </c>
      <c r="AB309" s="11">
        <v>1</v>
      </c>
      <c r="AC309" s="11">
        <v>1</v>
      </c>
      <c r="AD309" s="11">
        <v>0</v>
      </c>
      <c r="AE309" s="11">
        <v>0</v>
      </c>
      <c r="AF309" s="11">
        <v>0</v>
      </c>
      <c r="AG309" s="11">
        <v>1</v>
      </c>
      <c r="AH309" s="11">
        <v>1</v>
      </c>
      <c r="AI309" s="11">
        <v>1</v>
      </c>
      <c r="AJ309" s="11">
        <v>0</v>
      </c>
      <c r="AK309" s="11">
        <v>1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5">
        <f t="shared" si="46"/>
        <v>63.416957425338069</v>
      </c>
      <c r="BH309" s="3">
        <f t="shared" si="47"/>
        <v>16.19532891085294</v>
      </c>
      <c r="BI309" s="3">
        <f t="shared" si="48"/>
        <v>38.804671089147064</v>
      </c>
      <c r="BJ309" s="3">
        <f t="shared" si="40"/>
        <v>-0.87381776645414377</v>
      </c>
      <c r="BK309" s="3">
        <f t="shared" si="41"/>
        <v>-0.45609683602320777</v>
      </c>
      <c r="BL309" s="3">
        <f t="shared" si="42"/>
        <v>0.94333424358242735</v>
      </c>
      <c r="BM309" s="3">
        <f t="shared" si="43"/>
        <v>-0.44281327988750796</v>
      </c>
      <c r="BN309" s="3">
        <f t="shared" si="44"/>
        <v>45.571867201124917</v>
      </c>
      <c r="BO309" s="2" t="str">
        <f t="shared" si="45"/>
        <v>C</v>
      </c>
    </row>
    <row r="310" spans="1:67" x14ac:dyDescent="0.35">
      <c r="A310" s="15">
        <v>309</v>
      </c>
      <c r="B310" s="10" t="s">
        <v>291</v>
      </c>
      <c r="C310" s="11">
        <v>21</v>
      </c>
      <c r="D310" s="11">
        <v>0</v>
      </c>
      <c r="E310" s="11">
        <v>0</v>
      </c>
      <c r="F310" s="11">
        <v>1</v>
      </c>
      <c r="G310" s="11">
        <v>1</v>
      </c>
      <c r="H310" s="11">
        <v>1</v>
      </c>
      <c r="I310" s="11">
        <v>1</v>
      </c>
      <c r="J310" s="11">
        <v>1</v>
      </c>
      <c r="K310" s="11">
        <v>1</v>
      </c>
      <c r="L310" s="11">
        <v>0</v>
      </c>
      <c r="M310" s="11">
        <v>1</v>
      </c>
      <c r="N310" s="11">
        <v>1</v>
      </c>
      <c r="O310" s="11">
        <v>1</v>
      </c>
      <c r="P310" s="11">
        <v>0</v>
      </c>
      <c r="Q310" s="11">
        <v>1</v>
      </c>
      <c r="R310" s="11">
        <v>0</v>
      </c>
      <c r="S310" s="11">
        <v>1</v>
      </c>
      <c r="T310" s="11">
        <v>1</v>
      </c>
      <c r="U310" s="11">
        <v>1</v>
      </c>
      <c r="V310" s="11">
        <v>0</v>
      </c>
      <c r="W310" s="11">
        <v>0</v>
      </c>
      <c r="X310" s="11">
        <v>0</v>
      </c>
      <c r="Y310" s="11">
        <v>0</v>
      </c>
      <c r="Z310" s="11">
        <v>1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1</v>
      </c>
      <c r="AH310" s="11">
        <v>1</v>
      </c>
      <c r="AI310" s="11">
        <v>0</v>
      </c>
      <c r="AJ310" s="11">
        <v>0</v>
      </c>
      <c r="AK310" s="11">
        <v>1</v>
      </c>
      <c r="AL310" s="11">
        <v>0</v>
      </c>
      <c r="AM310" s="11">
        <v>1</v>
      </c>
      <c r="AN310" s="11">
        <v>0</v>
      </c>
      <c r="AO310" s="11">
        <v>0</v>
      </c>
      <c r="AP310" s="11">
        <v>0</v>
      </c>
      <c r="AQ310" s="11">
        <v>1</v>
      </c>
      <c r="AR310" s="11">
        <v>1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1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5">
        <f t="shared" si="46"/>
        <v>62.811214195056699</v>
      </c>
      <c r="BH310" s="3">
        <f t="shared" si="47"/>
        <v>16.040635099477978</v>
      </c>
      <c r="BI310" s="3">
        <f t="shared" si="48"/>
        <v>38.959364900522019</v>
      </c>
      <c r="BJ310" s="3">
        <f t="shared" si="40"/>
        <v>-0.88739398093509803</v>
      </c>
      <c r="BK310" s="3">
        <f t="shared" si="41"/>
        <v>-0.45609683602320777</v>
      </c>
      <c r="BL310" s="3">
        <f t="shared" si="42"/>
        <v>0.94333424358242735</v>
      </c>
      <c r="BM310" s="3">
        <f t="shared" si="43"/>
        <v>-0.45720501280011472</v>
      </c>
      <c r="BN310" s="3">
        <f t="shared" si="44"/>
        <v>45.427949871998855</v>
      </c>
      <c r="BO310" s="2" t="str">
        <f t="shared" si="45"/>
        <v>C</v>
      </c>
    </row>
    <row r="311" spans="1:67" x14ac:dyDescent="0.35">
      <c r="A311" s="1">
        <v>310</v>
      </c>
      <c r="B311" s="10" t="s">
        <v>292</v>
      </c>
      <c r="C311" s="11">
        <v>22</v>
      </c>
      <c r="D311" s="11">
        <v>1</v>
      </c>
      <c r="E311" s="11">
        <v>1</v>
      </c>
      <c r="F311" s="11">
        <v>1</v>
      </c>
      <c r="G311" s="11">
        <v>1</v>
      </c>
      <c r="H311" s="11">
        <v>1</v>
      </c>
      <c r="I311" s="11">
        <v>1</v>
      </c>
      <c r="J311" s="11">
        <v>1</v>
      </c>
      <c r="K311" s="11">
        <v>1</v>
      </c>
      <c r="L311" s="11">
        <v>1</v>
      </c>
      <c r="M311" s="11">
        <v>1</v>
      </c>
      <c r="N311" s="11">
        <v>1</v>
      </c>
      <c r="O311" s="11">
        <v>1</v>
      </c>
      <c r="P311" s="11">
        <v>0</v>
      </c>
      <c r="Q311" s="11">
        <v>1</v>
      </c>
      <c r="R311" s="11">
        <v>0</v>
      </c>
      <c r="S311" s="11">
        <v>0</v>
      </c>
      <c r="T311" s="11">
        <v>0</v>
      </c>
      <c r="U311" s="11">
        <v>1</v>
      </c>
      <c r="V311" s="11">
        <v>1</v>
      </c>
      <c r="W311" s="11">
        <v>0</v>
      </c>
      <c r="X311" s="11">
        <v>1</v>
      </c>
      <c r="Y311" s="11">
        <v>0</v>
      </c>
      <c r="Z311" s="11">
        <v>0</v>
      </c>
      <c r="AA311" s="11">
        <v>0</v>
      </c>
      <c r="AB311" s="11">
        <v>0</v>
      </c>
      <c r="AC311" s="11">
        <v>1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1</v>
      </c>
      <c r="AJ311" s="11">
        <v>1</v>
      </c>
      <c r="AK311" s="11">
        <v>1</v>
      </c>
      <c r="AL311" s="11">
        <v>1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1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5">
        <f t="shared" si="46"/>
        <v>62.787253080435313</v>
      </c>
      <c r="BH311" s="3">
        <f t="shared" si="47"/>
        <v>16.034515945420154</v>
      </c>
      <c r="BI311" s="3">
        <f t="shared" si="48"/>
        <v>38.965484054579846</v>
      </c>
      <c r="BJ311" s="3">
        <f t="shared" si="40"/>
        <v>-0.88793258470981051</v>
      </c>
      <c r="BK311" s="3">
        <f t="shared" si="41"/>
        <v>-0.45609683602320777</v>
      </c>
      <c r="BL311" s="3">
        <f t="shared" si="42"/>
        <v>0.94333424358242735</v>
      </c>
      <c r="BM311" s="3">
        <f t="shared" si="43"/>
        <v>-0.45777597031424788</v>
      </c>
      <c r="BN311" s="3">
        <f t="shared" si="44"/>
        <v>45.422240296857524</v>
      </c>
      <c r="BO311" s="2" t="str">
        <f t="shared" si="45"/>
        <v>C</v>
      </c>
    </row>
    <row r="312" spans="1:67" x14ac:dyDescent="0.35">
      <c r="A312" s="15">
        <v>311</v>
      </c>
      <c r="B312" s="12">
        <v>2510008</v>
      </c>
      <c r="C312" s="11">
        <v>21</v>
      </c>
      <c r="D312" s="11">
        <v>1</v>
      </c>
      <c r="E312" s="11">
        <v>1</v>
      </c>
      <c r="F312" s="11">
        <v>0</v>
      </c>
      <c r="G312" s="11">
        <v>1</v>
      </c>
      <c r="H312" s="11">
        <v>1</v>
      </c>
      <c r="I312" s="11">
        <v>0</v>
      </c>
      <c r="J312" s="11">
        <v>1</v>
      </c>
      <c r="K312" s="11">
        <v>1</v>
      </c>
      <c r="L312" s="11">
        <v>1</v>
      </c>
      <c r="M312" s="11">
        <v>1</v>
      </c>
      <c r="N312" s="11">
        <v>0</v>
      </c>
      <c r="O312" s="11">
        <v>1</v>
      </c>
      <c r="P312" s="11">
        <v>0</v>
      </c>
      <c r="Q312" s="11">
        <v>1</v>
      </c>
      <c r="R312" s="11">
        <v>0</v>
      </c>
      <c r="S312" s="11">
        <v>0</v>
      </c>
      <c r="T312" s="11">
        <v>1</v>
      </c>
      <c r="U312" s="11">
        <v>1</v>
      </c>
      <c r="V312" s="11">
        <v>0</v>
      </c>
      <c r="W312" s="11">
        <v>1</v>
      </c>
      <c r="X312" s="11">
        <v>0</v>
      </c>
      <c r="Y312" s="11">
        <v>0</v>
      </c>
      <c r="Z312" s="11">
        <v>0</v>
      </c>
      <c r="AA312" s="11">
        <v>1</v>
      </c>
      <c r="AB312" s="11">
        <v>0</v>
      </c>
      <c r="AC312" s="11">
        <v>1</v>
      </c>
      <c r="AD312" s="11">
        <v>0</v>
      </c>
      <c r="AE312" s="11">
        <v>0</v>
      </c>
      <c r="AF312" s="11">
        <v>0</v>
      </c>
      <c r="AG312" s="11">
        <v>1</v>
      </c>
      <c r="AH312" s="11">
        <v>1</v>
      </c>
      <c r="AI312" s="11">
        <v>0</v>
      </c>
      <c r="AJ312" s="11">
        <v>1</v>
      </c>
      <c r="AK312" s="11">
        <v>0</v>
      </c>
      <c r="AL312" s="11">
        <v>1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1</v>
      </c>
      <c r="AU312" s="11">
        <v>0</v>
      </c>
      <c r="AV312" s="11">
        <v>0</v>
      </c>
      <c r="AW312" s="11">
        <v>1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5">
        <f t="shared" si="46"/>
        <v>62.475482799117195</v>
      </c>
      <c r="BH312" s="3">
        <f t="shared" si="47"/>
        <v>15.954896511508954</v>
      </c>
      <c r="BI312" s="3">
        <f t="shared" si="48"/>
        <v>39.045103488491044</v>
      </c>
      <c r="BJ312" s="3">
        <f t="shared" si="40"/>
        <v>-0.89495170416808056</v>
      </c>
      <c r="BK312" s="3">
        <f t="shared" si="41"/>
        <v>-0.45609683602320777</v>
      </c>
      <c r="BL312" s="3">
        <f t="shared" si="42"/>
        <v>0.94333424358242735</v>
      </c>
      <c r="BM312" s="3">
        <f t="shared" si="43"/>
        <v>-0.46521672581106316</v>
      </c>
      <c r="BN312" s="3">
        <f t="shared" si="44"/>
        <v>45.34783274188937</v>
      </c>
      <c r="BO312" s="2" t="str">
        <f t="shared" si="45"/>
        <v>C</v>
      </c>
    </row>
    <row r="313" spans="1:67" x14ac:dyDescent="0.35">
      <c r="A313" s="15">
        <v>312</v>
      </c>
      <c r="B313" s="10" t="s">
        <v>293</v>
      </c>
      <c r="C313" s="11">
        <v>21</v>
      </c>
      <c r="D313" s="11">
        <v>1</v>
      </c>
      <c r="E313" s="11">
        <v>1</v>
      </c>
      <c r="F313" s="11">
        <v>1</v>
      </c>
      <c r="G313" s="11">
        <v>1</v>
      </c>
      <c r="H313" s="11">
        <v>1</v>
      </c>
      <c r="I313" s="11">
        <v>1</v>
      </c>
      <c r="J313" s="11">
        <v>1</v>
      </c>
      <c r="K313" s="11">
        <v>1</v>
      </c>
      <c r="L313" s="11">
        <v>0</v>
      </c>
      <c r="M313" s="11">
        <v>1</v>
      </c>
      <c r="N313" s="11">
        <v>1</v>
      </c>
      <c r="O313" s="11">
        <v>0</v>
      </c>
      <c r="P313" s="11">
        <v>0</v>
      </c>
      <c r="Q313" s="11">
        <v>1</v>
      </c>
      <c r="R313" s="11">
        <v>0</v>
      </c>
      <c r="S313" s="11">
        <v>0</v>
      </c>
      <c r="T313" s="11">
        <v>0</v>
      </c>
      <c r="U313" s="11">
        <v>0</v>
      </c>
      <c r="V313" s="11">
        <v>1</v>
      </c>
      <c r="W313" s="11">
        <v>0</v>
      </c>
      <c r="X313" s="11">
        <v>0</v>
      </c>
      <c r="Y313" s="11">
        <v>1</v>
      </c>
      <c r="Z313" s="11">
        <v>1</v>
      </c>
      <c r="AA313" s="11">
        <v>0</v>
      </c>
      <c r="AB313" s="11">
        <v>0</v>
      </c>
      <c r="AC313" s="11">
        <v>1</v>
      </c>
      <c r="AD313" s="11">
        <v>0</v>
      </c>
      <c r="AE313" s="11">
        <v>0</v>
      </c>
      <c r="AF313" s="11">
        <v>0</v>
      </c>
      <c r="AG313" s="11">
        <v>1</v>
      </c>
      <c r="AH313" s="11">
        <v>0</v>
      </c>
      <c r="AI313" s="11">
        <v>0</v>
      </c>
      <c r="AJ313" s="11">
        <v>0</v>
      </c>
      <c r="AK313" s="11">
        <v>0</v>
      </c>
      <c r="AL313" s="11">
        <v>1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1</v>
      </c>
      <c r="AS313" s="11">
        <v>0</v>
      </c>
      <c r="AT313" s="11">
        <v>1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1</v>
      </c>
      <c r="BB313" s="11">
        <v>0</v>
      </c>
      <c r="BC313" s="11">
        <v>0</v>
      </c>
      <c r="BD313" s="11">
        <v>1</v>
      </c>
      <c r="BE313" s="11">
        <v>0</v>
      </c>
      <c r="BF313" s="11">
        <v>0</v>
      </c>
      <c r="BG313" s="5">
        <f t="shared" si="46"/>
        <v>62.214228139236454</v>
      </c>
      <c r="BH313" s="3">
        <f t="shared" si="47"/>
        <v>15.888177682381226</v>
      </c>
      <c r="BI313" s="3">
        <f t="shared" si="48"/>
        <v>39.111822317618774</v>
      </c>
      <c r="BJ313" s="3">
        <f t="shared" si="40"/>
        <v>-0.90084949168070505</v>
      </c>
      <c r="BK313" s="3">
        <f t="shared" si="41"/>
        <v>-0.45609683602320777</v>
      </c>
      <c r="BL313" s="3">
        <f t="shared" si="42"/>
        <v>0.94333424358242735</v>
      </c>
      <c r="BM313" s="3">
        <f t="shared" si="43"/>
        <v>-0.47146879134642095</v>
      </c>
      <c r="BN313" s="3">
        <f t="shared" si="44"/>
        <v>45.285312086535789</v>
      </c>
      <c r="BO313" s="2" t="str">
        <f t="shared" si="45"/>
        <v>C</v>
      </c>
    </row>
    <row r="314" spans="1:67" x14ac:dyDescent="0.35">
      <c r="A314" s="1">
        <v>313</v>
      </c>
      <c r="B314" s="12">
        <v>103008</v>
      </c>
      <c r="C314" s="11">
        <v>21</v>
      </c>
      <c r="D314" s="11">
        <v>1</v>
      </c>
      <c r="E314" s="11">
        <v>1</v>
      </c>
      <c r="F314" s="11">
        <v>1</v>
      </c>
      <c r="G314" s="11">
        <v>1</v>
      </c>
      <c r="H314" s="11">
        <v>1</v>
      </c>
      <c r="I314" s="11">
        <v>0</v>
      </c>
      <c r="J314" s="11">
        <v>1</v>
      </c>
      <c r="K314" s="11">
        <v>0</v>
      </c>
      <c r="L314" s="11">
        <v>0</v>
      </c>
      <c r="M314" s="11">
        <v>1</v>
      </c>
      <c r="N314" s="11">
        <v>1</v>
      </c>
      <c r="O314" s="11">
        <v>0</v>
      </c>
      <c r="P314" s="11">
        <v>0</v>
      </c>
      <c r="Q314" s="11">
        <v>1</v>
      </c>
      <c r="R314" s="11">
        <v>0</v>
      </c>
      <c r="S314" s="11">
        <v>0</v>
      </c>
      <c r="T314" s="11">
        <v>1</v>
      </c>
      <c r="U314" s="11">
        <v>1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1</v>
      </c>
      <c r="AD314" s="11">
        <v>1</v>
      </c>
      <c r="AE314" s="11">
        <v>1</v>
      </c>
      <c r="AF314" s="11">
        <v>0</v>
      </c>
      <c r="AG314" s="11">
        <v>1</v>
      </c>
      <c r="AH314" s="11">
        <v>1</v>
      </c>
      <c r="AI314" s="11">
        <v>0</v>
      </c>
      <c r="AJ314" s="11">
        <v>1</v>
      </c>
      <c r="AK314" s="11">
        <v>1</v>
      </c>
      <c r="AL314" s="11">
        <v>1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1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1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5">
        <f t="shared" si="46"/>
        <v>62.125942227842827</v>
      </c>
      <c r="BH314" s="3">
        <f t="shared" si="47"/>
        <v>15.865631356741153</v>
      </c>
      <c r="BI314" s="3">
        <f t="shared" si="48"/>
        <v>39.134368643258846</v>
      </c>
      <c r="BJ314" s="3">
        <f t="shared" si="40"/>
        <v>-0.90284585452175914</v>
      </c>
      <c r="BK314" s="3">
        <f t="shared" si="41"/>
        <v>-0.45609683602320777</v>
      </c>
      <c r="BL314" s="3">
        <f t="shared" si="42"/>
        <v>0.94333424358242735</v>
      </c>
      <c r="BM314" s="3">
        <f t="shared" si="43"/>
        <v>-0.47358507500158931</v>
      </c>
      <c r="BN314" s="3">
        <f t="shared" si="44"/>
        <v>45.264149249984108</v>
      </c>
      <c r="BO314" s="2" t="str">
        <f t="shared" si="45"/>
        <v>C</v>
      </c>
    </row>
    <row r="315" spans="1:67" x14ac:dyDescent="0.35">
      <c r="A315" s="15">
        <v>314</v>
      </c>
      <c r="B315" s="12">
        <v>1509814</v>
      </c>
      <c r="C315" s="11">
        <v>20</v>
      </c>
      <c r="D315" s="11">
        <v>1</v>
      </c>
      <c r="E315" s="11">
        <v>0</v>
      </c>
      <c r="F315" s="11">
        <v>0</v>
      </c>
      <c r="G315" s="11">
        <v>0</v>
      </c>
      <c r="H315" s="11">
        <v>1</v>
      </c>
      <c r="I315" s="11">
        <v>0</v>
      </c>
      <c r="J315" s="11">
        <v>1</v>
      </c>
      <c r="K315" s="11">
        <v>1</v>
      </c>
      <c r="L315" s="11">
        <v>1</v>
      </c>
      <c r="M315" s="11">
        <v>1</v>
      </c>
      <c r="N315" s="11">
        <v>0</v>
      </c>
      <c r="O315" s="11">
        <v>1</v>
      </c>
      <c r="P315" s="11">
        <v>1</v>
      </c>
      <c r="Q315" s="11">
        <v>1</v>
      </c>
      <c r="R315" s="11">
        <v>1</v>
      </c>
      <c r="S315" s="11">
        <v>0</v>
      </c>
      <c r="T315" s="11">
        <v>0</v>
      </c>
      <c r="U315" s="11">
        <v>0</v>
      </c>
      <c r="V315" s="11">
        <v>1</v>
      </c>
      <c r="W315" s="11">
        <v>0</v>
      </c>
      <c r="X315" s="11">
        <v>0</v>
      </c>
      <c r="Y315" s="11">
        <v>1</v>
      </c>
      <c r="Z315" s="11">
        <v>1</v>
      </c>
      <c r="AA315" s="11">
        <v>0</v>
      </c>
      <c r="AB315" s="11">
        <v>0</v>
      </c>
      <c r="AC315" s="11">
        <v>1</v>
      </c>
      <c r="AD315" s="11">
        <v>0</v>
      </c>
      <c r="AE315" s="11">
        <v>1</v>
      </c>
      <c r="AF315" s="11">
        <v>1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1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1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1</v>
      </c>
      <c r="BB315" s="11">
        <v>1</v>
      </c>
      <c r="BC315" s="11">
        <v>0</v>
      </c>
      <c r="BD315" s="11">
        <v>0</v>
      </c>
      <c r="BE315" s="11">
        <v>0</v>
      </c>
      <c r="BF315" s="11">
        <v>0</v>
      </c>
      <c r="BG315" s="5">
        <f t="shared" si="46"/>
        <v>62.061976751297159</v>
      </c>
      <c r="BH315" s="3">
        <f t="shared" si="47"/>
        <v>15.849295947827597</v>
      </c>
      <c r="BI315" s="3">
        <f t="shared" si="48"/>
        <v>39.150704052172401</v>
      </c>
      <c r="BJ315" s="3">
        <f t="shared" si="40"/>
        <v>-0.90429332608650526</v>
      </c>
      <c r="BK315" s="3">
        <f t="shared" si="41"/>
        <v>-0.45609683602320777</v>
      </c>
      <c r="BL315" s="3">
        <f t="shared" si="42"/>
        <v>0.94333424358242735</v>
      </c>
      <c r="BM315" s="3">
        <f t="shared" si="43"/>
        <v>-0.47511949567442435</v>
      </c>
      <c r="BN315" s="3">
        <f t="shared" si="44"/>
        <v>45.248805043255757</v>
      </c>
      <c r="BO315" s="2" t="str">
        <f t="shared" si="45"/>
        <v>C</v>
      </c>
    </row>
    <row r="316" spans="1:67" x14ac:dyDescent="0.35">
      <c r="A316" s="15">
        <v>315</v>
      </c>
      <c r="B316" s="10" t="s">
        <v>294</v>
      </c>
      <c r="C316" s="11">
        <v>21</v>
      </c>
      <c r="D316" s="11">
        <v>1</v>
      </c>
      <c r="E316" s="11">
        <v>1</v>
      </c>
      <c r="F316" s="11">
        <v>1</v>
      </c>
      <c r="G316" s="11">
        <v>1</v>
      </c>
      <c r="H316" s="11">
        <v>1</v>
      </c>
      <c r="I316" s="11">
        <v>1</v>
      </c>
      <c r="J316" s="11">
        <v>1</v>
      </c>
      <c r="K316" s="11">
        <v>1</v>
      </c>
      <c r="L316" s="11">
        <v>0</v>
      </c>
      <c r="M316" s="11">
        <v>1</v>
      </c>
      <c r="N316" s="11">
        <v>0</v>
      </c>
      <c r="O316" s="11">
        <v>1</v>
      </c>
      <c r="P316" s="11">
        <v>1</v>
      </c>
      <c r="Q316" s="11">
        <v>1</v>
      </c>
      <c r="R316" s="11">
        <v>0</v>
      </c>
      <c r="S316" s="11">
        <v>1</v>
      </c>
      <c r="T316" s="11">
        <v>0</v>
      </c>
      <c r="U316" s="11">
        <v>1</v>
      </c>
      <c r="V316" s="11">
        <v>1</v>
      </c>
      <c r="W316" s="11">
        <v>0</v>
      </c>
      <c r="X316" s="11">
        <v>0</v>
      </c>
      <c r="Y316" s="11">
        <v>0</v>
      </c>
      <c r="Z316" s="11">
        <v>0</v>
      </c>
      <c r="AA316" s="11">
        <v>1</v>
      </c>
      <c r="AB316" s="11">
        <v>0</v>
      </c>
      <c r="AC316" s="11">
        <v>1</v>
      </c>
      <c r="AD316" s="11">
        <v>1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1</v>
      </c>
      <c r="AR316" s="11">
        <v>1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1</v>
      </c>
      <c r="BC316" s="11">
        <v>0</v>
      </c>
      <c r="BD316" s="11">
        <v>0</v>
      </c>
      <c r="BE316" s="11">
        <v>0</v>
      </c>
      <c r="BF316" s="11">
        <v>0</v>
      </c>
      <c r="BG316" s="5">
        <f t="shared" si="46"/>
        <v>61.819738058663283</v>
      </c>
      <c r="BH316" s="3">
        <f t="shared" si="47"/>
        <v>15.787433388325915</v>
      </c>
      <c r="BI316" s="3">
        <f t="shared" si="48"/>
        <v>39.212566611674085</v>
      </c>
      <c r="BJ316" s="3">
        <f t="shared" si="40"/>
        <v>-0.90978300385012378</v>
      </c>
      <c r="BK316" s="3">
        <f t="shared" si="41"/>
        <v>-0.45609683602320777</v>
      </c>
      <c r="BL316" s="3">
        <f t="shared" si="42"/>
        <v>0.94333424358242735</v>
      </c>
      <c r="BM316" s="3">
        <f t="shared" si="43"/>
        <v>-0.48093893645160934</v>
      </c>
      <c r="BN316" s="3">
        <f t="shared" si="44"/>
        <v>45.190610635483907</v>
      </c>
      <c r="BO316" s="2" t="str">
        <f t="shared" si="45"/>
        <v>C</v>
      </c>
    </row>
    <row r="317" spans="1:67" x14ac:dyDescent="0.35">
      <c r="A317" s="1">
        <v>316</v>
      </c>
      <c r="B317" s="10" t="s">
        <v>295</v>
      </c>
      <c r="C317" s="11">
        <v>21</v>
      </c>
      <c r="D317" s="11">
        <v>1</v>
      </c>
      <c r="E317" s="11">
        <v>1</v>
      </c>
      <c r="F317" s="11">
        <v>0</v>
      </c>
      <c r="G317" s="11">
        <v>1</v>
      </c>
      <c r="H317" s="11">
        <v>1</v>
      </c>
      <c r="I317" s="11">
        <v>1</v>
      </c>
      <c r="J317" s="11">
        <v>1</v>
      </c>
      <c r="K317" s="11">
        <v>1</v>
      </c>
      <c r="L317" s="11">
        <v>1</v>
      </c>
      <c r="M317" s="11">
        <v>1</v>
      </c>
      <c r="N317" s="11">
        <v>1</v>
      </c>
      <c r="O317" s="11">
        <v>0</v>
      </c>
      <c r="P317" s="11">
        <v>0</v>
      </c>
      <c r="Q317" s="11">
        <v>1</v>
      </c>
      <c r="R317" s="11">
        <v>0</v>
      </c>
      <c r="S317" s="11">
        <v>0</v>
      </c>
      <c r="T317" s="11">
        <v>1</v>
      </c>
      <c r="U317" s="11">
        <v>0</v>
      </c>
      <c r="V317" s="11">
        <v>1</v>
      </c>
      <c r="W317" s="11">
        <v>0</v>
      </c>
      <c r="X317" s="11">
        <v>0</v>
      </c>
      <c r="Y317" s="11">
        <v>1</v>
      </c>
      <c r="Z317" s="11">
        <v>1</v>
      </c>
      <c r="AA317" s="11">
        <v>0</v>
      </c>
      <c r="AB317" s="11">
        <v>0</v>
      </c>
      <c r="AC317" s="11">
        <v>1</v>
      </c>
      <c r="AD317" s="11">
        <v>0</v>
      </c>
      <c r="AE317" s="11">
        <v>1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1</v>
      </c>
      <c r="AN317" s="11">
        <v>0</v>
      </c>
      <c r="AO317" s="11">
        <v>0</v>
      </c>
      <c r="AP317" s="11">
        <v>0</v>
      </c>
      <c r="AQ317" s="11">
        <v>1</v>
      </c>
      <c r="AR317" s="11">
        <v>1</v>
      </c>
      <c r="AS317" s="11">
        <v>0</v>
      </c>
      <c r="AT317" s="11">
        <v>1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5">
        <f t="shared" si="46"/>
        <v>61.607602844462924</v>
      </c>
      <c r="BH317" s="3">
        <f t="shared" si="47"/>
        <v>15.733258610679195</v>
      </c>
      <c r="BI317" s="3">
        <f t="shared" si="48"/>
        <v>39.266741389320806</v>
      </c>
      <c r="BJ317" s="3">
        <f t="shared" si="40"/>
        <v>-0.91460103091052225</v>
      </c>
      <c r="BK317" s="3">
        <f t="shared" si="41"/>
        <v>-0.45609683602320777</v>
      </c>
      <c r="BL317" s="3">
        <f t="shared" si="42"/>
        <v>0.94333424358242735</v>
      </c>
      <c r="BM317" s="3">
        <f t="shared" si="43"/>
        <v>-0.48604638070392592</v>
      </c>
      <c r="BN317" s="3">
        <f t="shared" si="44"/>
        <v>45.13953619296074</v>
      </c>
      <c r="BO317" s="2" t="str">
        <f t="shared" si="45"/>
        <v>C</v>
      </c>
    </row>
    <row r="318" spans="1:67" x14ac:dyDescent="0.35">
      <c r="A318" s="15">
        <v>317</v>
      </c>
      <c r="B318" s="10" t="s">
        <v>296</v>
      </c>
      <c r="C318" s="11">
        <v>22</v>
      </c>
      <c r="D318" s="11">
        <v>0</v>
      </c>
      <c r="E318" s="11">
        <v>1</v>
      </c>
      <c r="F318" s="11">
        <v>1</v>
      </c>
      <c r="G318" s="11">
        <v>1</v>
      </c>
      <c r="H318" s="11">
        <v>1</v>
      </c>
      <c r="I318" s="11">
        <v>1</v>
      </c>
      <c r="J318" s="11">
        <v>1</v>
      </c>
      <c r="K318" s="11">
        <v>1</v>
      </c>
      <c r="L318" s="11">
        <v>1</v>
      </c>
      <c r="M318" s="11">
        <v>1</v>
      </c>
      <c r="N318" s="11">
        <v>1</v>
      </c>
      <c r="O318" s="11">
        <v>0</v>
      </c>
      <c r="P318" s="11">
        <v>1</v>
      </c>
      <c r="Q318" s="11">
        <v>1</v>
      </c>
      <c r="R318" s="11">
        <v>0</v>
      </c>
      <c r="S318" s="11">
        <v>1</v>
      </c>
      <c r="T318" s="11">
        <v>1</v>
      </c>
      <c r="U318" s="11">
        <v>1</v>
      </c>
      <c r="V318" s="11">
        <v>1</v>
      </c>
      <c r="W318" s="11">
        <v>0</v>
      </c>
      <c r="X318" s="11">
        <v>0</v>
      </c>
      <c r="Y318" s="11">
        <v>1</v>
      </c>
      <c r="Z318" s="11">
        <v>1</v>
      </c>
      <c r="AA318" s="11">
        <v>1</v>
      </c>
      <c r="AB318" s="11">
        <v>0</v>
      </c>
      <c r="AC318" s="11">
        <v>1</v>
      </c>
      <c r="AD318" s="11">
        <v>0</v>
      </c>
      <c r="AE318" s="11">
        <v>1</v>
      </c>
      <c r="AF318" s="11">
        <v>1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5">
        <f t="shared" si="46"/>
        <v>61.011738340259143</v>
      </c>
      <c r="BH318" s="3">
        <f t="shared" si="47"/>
        <v>15.581087613777557</v>
      </c>
      <c r="BI318" s="3">
        <f t="shared" si="48"/>
        <v>39.418912386222445</v>
      </c>
      <c r="BJ318" s="3">
        <f t="shared" si="40"/>
        <v>-0.92818786460276848</v>
      </c>
      <c r="BK318" s="3">
        <f t="shared" si="41"/>
        <v>-0.45609683602320777</v>
      </c>
      <c r="BL318" s="3">
        <f t="shared" si="42"/>
        <v>0.94333424358242735</v>
      </c>
      <c r="BM318" s="3">
        <f t="shared" si="43"/>
        <v>-0.50044937072011419</v>
      </c>
      <c r="BN318" s="3">
        <f t="shared" si="44"/>
        <v>44.995506292798858</v>
      </c>
      <c r="BO318" s="2" t="str">
        <f t="shared" si="45"/>
        <v>NC</v>
      </c>
    </row>
    <row r="319" spans="1:67" x14ac:dyDescent="0.35">
      <c r="A319" s="15">
        <v>318</v>
      </c>
      <c r="B319" s="10" t="s">
        <v>297</v>
      </c>
      <c r="C319" s="11">
        <v>21</v>
      </c>
      <c r="D319" s="11">
        <v>1</v>
      </c>
      <c r="E319" s="11">
        <v>1</v>
      </c>
      <c r="F319" s="11">
        <v>0</v>
      </c>
      <c r="G319" s="11">
        <v>1</v>
      </c>
      <c r="H319" s="11">
        <v>1</v>
      </c>
      <c r="I319" s="11">
        <v>0</v>
      </c>
      <c r="J319" s="11">
        <v>1</v>
      </c>
      <c r="K319" s="11">
        <v>1</v>
      </c>
      <c r="L319" s="11">
        <v>1</v>
      </c>
      <c r="M319" s="11">
        <v>1</v>
      </c>
      <c r="N319" s="11">
        <v>1</v>
      </c>
      <c r="O319" s="11">
        <v>0</v>
      </c>
      <c r="P319" s="11">
        <v>1</v>
      </c>
      <c r="Q319" s="11">
        <v>1</v>
      </c>
      <c r="R319" s="11">
        <v>0</v>
      </c>
      <c r="S319" s="11">
        <v>0</v>
      </c>
      <c r="T319" s="11">
        <v>1</v>
      </c>
      <c r="U319" s="11">
        <v>1</v>
      </c>
      <c r="V319" s="11">
        <v>0</v>
      </c>
      <c r="W319" s="11">
        <v>0</v>
      </c>
      <c r="X319" s="11">
        <v>1</v>
      </c>
      <c r="Y319" s="11">
        <v>1</v>
      </c>
      <c r="Z319" s="11">
        <v>1</v>
      </c>
      <c r="AA319" s="11">
        <v>0</v>
      </c>
      <c r="AB319" s="11">
        <v>0</v>
      </c>
      <c r="AC319" s="11">
        <v>0</v>
      </c>
      <c r="AD319" s="11">
        <v>0</v>
      </c>
      <c r="AE319" s="11">
        <v>1</v>
      </c>
      <c r="AF319" s="11">
        <v>1</v>
      </c>
      <c r="AG319" s="11">
        <v>0</v>
      </c>
      <c r="AH319" s="11">
        <v>0</v>
      </c>
      <c r="AI319" s="11">
        <v>1</v>
      </c>
      <c r="AJ319" s="11">
        <v>1</v>
      </c>
      <c r="AK319" s="11">
        <v>1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5">
        <f t="shared" si="46"/>
        <v>60.830502499270622</v>
      </c>
      <c r="BH319" s="3">
        <f t="shared" si="47"/>
        <v>15.534803872418635</v>
      </c>
      <c r="BI319" s="3">
        <f t="shared" si="48"/>
        <v>39.465196127581365</v>
      </c>
      <c r="BJ319" s="3">
        <f t="shared" si="40"/>
        <v>-0.93233625492596262</v>
      </c>
      <c r="BK319" s="3">
        <f t="shared" si="41"/>
        <v>-0.45609683602320777</v>
      </c>
      <c r="BL319" s="3">
        <f t="shared" si="42"/>
        <v>0.94333424358242735</v>
      </c>
      <c r="BM319" s="3">
        <f t="shared" si="43"/>
        <v>-0.50484695339180874</v>
      </c>
      <c r="BN319" s="3">
        <f t="shared" si="44"/>
        <v>44.951530466081913</v>
      </c>
      <c r="BO319" s="2" t="str">
        <f t="shared" si="45"/>
        <v>NC</v>
      </c>
    </row>
    <row r="320" spans="1:67" x14ac:dyDescent="0.35">
      <c r="A320" s="1">
        <v>319</v>
      </c>
      <c r="B320" s="10" t="s">
        <v>298</v>
      </c>
      <c r="C320" s="11">
        <v>21</v>
      </c>
      <c r="D320" s="11">
        <v>1</v>
      </c>
      <c r="E320" s="11">
        <v>1</v>
      </c>
      <c r="F320" s="11">
        <v>0</v>
      </c>
      <c r="G320" s="11">
        <v>1</v>
      </c>
      <c r="H320" s="11">
        <v>1</v>
      </c>
      <c r="I320" s="11">
        <v>1</v>
      </c>
      <c r="J320" s="11">
        <v>1</v>
      </c>
      <c r="K320" s="11">
        <v>1</v>
      </c>
      <c r="L320" s="11">
        <v>1</v>
      </c>
      <c r="M320" s="11">
        <v>1</v>
      </c>
      <c r="N320" s="11">
        <v>1</v>
      </c>
      <c r="O320" s="11">
        <v>0</v>
      </c>
      <c r="P320" s="11">
        <v>1</v>
      </c>
      <c r="Q320" s="11">
        <v>1</v>
      </c>
      <c r="R320" s="11">
        <v>0</v>
      </c>
      <c r="S320" s="11">
        <v>0</v>
      </c>
      <c r="T320" s="11">
        <v>1</v>
      </c>
      <c r="U320" s="11">
        <v>1</v>
      </c>
      <c r="V320" s="11">
        <v>1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1</v>
      </c>
      <c r="AD320" s="11">
        <v>1</v>
      </c>
      <c r="AE320" s="11">
        <v>0</v>
      </c>
      <c r="AF320" s="11">
        <v>1</v>
      </c>
      <c r="AG320" s="11">
        <v>0</v>
      </c>
      <c r="AH320" s="11">
        <v>0</v>
      </c>
      <c r="AI320" s="11">
        <v>0</v>
      </c>
      <c r="AJ320" s="11">
        <v>0</v>
      </c>
      <c r="AK320" s="11">
        <v>1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1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1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5">
        <f t="shared" si="46"/>
        <v>60.346741633239361</v>
      </c>
      <c r="BH320" s="3">
        <f t="shared" si="47"/>
        <v>15.411261737039476</v>
      </c>
      <c r="BI320" s="3">
        <f t="shared" si="48"/>
        <v>39.588738262960526</v>
      </c>
      <c r="BJ320" s="3">
        <f t="shared" si="40"/>
        <v>-0.94344616672632164</v>
      </c>
      <c r="BK320" s="3">
        <f t="shared" si="41"/>
        <v>-0.45609683602320777</v>
      </c>
      <c r="BL320" s="3">
        <f t="shared" si="42"/>
        <v>0.94333424358242735</v>
      </c>
      <c r="BM320" s="3">
        <f t="shared" si="43"/>
        <v>-0.51662423368873489</v>
      </c>
      <c r="BN320" s="3">
        <f t="shared" si="44"/>
        <v>44.83375766311265</v>
      </c>
      <c r="BO320" s="2" t="str">
        <f t="shared" si="45"/>
        <v>NC</v>
      </c>
    </row>
    <row r="321" spans="1:67" x14ac:dyDescent="0.35">
      <c r="A321" s="15">
        <v>320</v>
      </c>
      <c r="B321" s="10" t="s">
        <v>299</v>
      </c>
      <c r="C321" s="11">
        <v>19</v>
      </c>
      <c r="D321" s="11">
        <v>0</v>
      </c>
      <c r="E321" s="11">
        <v>0</v>
      </c>
      <c r="F321" s="11">
        <v>1</v>
      </c>
      <c r="G321" s="11">
        <v>1</v>
      </c>
      <c r="H321" s="11">
        <v>1</v>
      </c>
      <c r="I321" s="11">
        <v>0</v>
      </c>
      <c r="J321" s="11">
        <v>1</v>
      </c>
      <c r="K321" s="11">
        <v>0</v>
      </c>
      <c r="L321" s="11">
        <v>0</v>
      </c>
      <c r="M321" s="11">
        <v>1</v>
      </c>
      <c r="N321" s="11">
        <v>0</v>
      </c>
      <c r="O321" s="11">
        <v>1</v>
      </c>
      <c r="P321" s="11">
        <v>0</v>
      </c>
      <c r="Q321" s="11">
        <v>1</v>
      </c>
      <c r="R321" s="11">
        <v>0</v>
      </c>
      <c r="S321" s="11">
        <v>1</v>
      </c>
      <c r="T321" s="11">
        <v>1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1</v>
      </c>
      <c r="AD321" s="11">
        <v>1</v>
      </c>
      <c r="AE321" s="11">
        <v>1</v>
      </c>
      <c r="AF321" s="11">
        <v>1</v>
      </c>
      <c r="AG321" s="11">
        <v>0</v>
      </c>
      <c r="AH321" s="11">
        <v>1</v>
      </c>
      <c r="AI321" s="11">
        <v>1</v>
      </c>
      <c r="AJ321" s="11">
        <v>1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1</v>
      </c>
      <c r="AW321" s="11">
        <v>1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1</v>
      </c>
      <c r="BD321" s="11">
        <v>0</v>
      </c>
      <c r="BE321" s="11">
        <v>0</v>
      </c>
      <c r="BF321" s="11">
        <v>0</v>
      </c>
      <c r="BG321" s="5">
        <f t="shared" si="46"/>
        <v>60.26569469784809</v>
      </c>
      <c r="BH321" s="3">
        <f t="shared" si="47"/>
        <v>15.390564090397827</v>
      </c>
      <c r="BI321" s="3">
        <f t="shared" si="48"/>
        <v>39.609435909602169</v>
      </c>
      <c r="BJ321" s="3">
        <f t="shared" si="40"/>
        <v>-0.94531277019527027</v>
      </c>
      <c r="BK321" s="3">
        <f t="shared" si="41"/>
        <v>-0.45609683602320777</v>
      </c>
      <c r="BL321" s="3">
        <f t="shared" si="42"/>
        <v>0.94333424358242735</v>
      </c>
      <c r="BM321" s="3">
        <f t="shared" si="43"/>
        <v>-0.51860296337192746</v>
      </c>
      <c r="BN321" s="3">
        <f t="shared" si="44"/>
        <v>44.813970366280728</v>
      </c>
      <c r="BO321" s="2" t="str">
        <f t="shared" si="45"/>
        <v>NC</v>
      </c>
    </row>
    <row r="322" spans="1:67" x14ac:dyDescent="0.35">
      <c r="A322" s="15">
        <v>321</v>
      </c>
      <c r="B322" s="10" t="s">
        <v>300</v>
      </c>
      <c r="C322" s="11">
        <v>21</v>
      </c>
      <c r="D322" s="11">
        <v>1</v>
      </c>
      <c r="E322" s="11">
        <v>1</v>
      </c>
      <c r="F322" s="11">
        <v>1</v>
      </c>
      <c r="G322" s="11">
        <v>1</v>
      </c>
      <c r="H322" s="11">
        <v>1</v>
      </c>
      <c r="I322" s="11">
        <v>1</v>
      </c>
      <c r="J322" s="11">
        <v>0</v>
      </c>
      <c r="K322" s="11">
        <v>1</v>
      </c>
      <c r="L322" s="11">
        <v>1</v>
      </c>
      <c r="M322" s="11">
        <v>1</v>
      </c>
      <c r="N322" s="11">
        <v>1</v>
      </c>
      <c r="O322" s="11">
        <v>1</v>
      </c>
      <c r="P322" s="11">
        <v>0</v>
      </c>
      <c r="Q322" s="11">
        <v>1</v>
      </c>
      <c r="R322" s="11">
        <v>0</v>
      </c>
      <c r="S322" s="11">
        <v>0</v>
      </c>
      <c r="T322" s="11">
        <v>1</v>
      </c>
      <c r="U322" s="11">
        <v>1</v>
      </c>
      <c r="V322" s="11">
        <v>1</v>
      </c>
      <c r="W322" s="11">
        <v>1</v>
      </c>
      <c r="X322" s="11">
        <v>0</v>
      </c>
      <c r="Y322" s="11">
        <v>1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1</v>
      </c>
      <c r="AG322" s="11">
        <v>0</v>
      </c>
      <c r="AH322" s="11">
        <v>1</v>
      </c>
      <c r="AI322" s="11">
        <v>0</v>
      </c>
      <c r="AJ322" s="11">
        <v>0</v>
      </c>
      <c r="AK322" s="11">
        <v>0</v>
      </c>
      <c r="AL322" s="11">
        <v>0</v>
      </c>
      <c r="AM322" s="11">
        <v>1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1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5">
        <f t="shared" si="46"/>
        <v>60.180829418279089</v>
      </c>
      <c r="BH322" s="3">
        <f t="shared" si="47"/>
        <v>15.368891320660337</v>
      </c>
      <c r="BI322" s="3">
        <f t="shared" si="48"/>
        <v>39.631108679339661</v>
      </c>
      <c r="BJ322" s="3">
        <f t="shared" ref="BJ322:BJ385" si="49">LN(BH322/BI322)</f>
        <v>-0.94726896030460384</v>
      </c>
      <c r="BK322" s="3">
        <f t="shared" si="41"/>
        <v>-0.45609683602320777</v>
      </c>
      <c r="BL322" s="3">
        <f t="shared" si="42"/>
        <v>0.94333424358242735</v>
      </c>
      <c r="BM322" s="3">
        <f t="shared" si="43"/>
        <v>-0.52067666113350208</v>
      </c>
      <c r="BN322" s="3">
        <f t="shared" si="44"/>
        <v>44.79323338866498</v>
      </c>
      <c r="BO322" s="2" t="str">
        <f t="shared" si="45"/>
        <v>NC</v>
      </c>
    </row>
    <row r="323" spans="1:67" x14ac:dyDescent="0.35">
      <c r="A323" s="1">
        <v>322</v>
      </c>
      <c r="B323" s="10" t="s">
        <v>301</v>
      </c>
      <c r="C323" s="11">
        <v>20</v>
      </c>
      <c r="D323" s="11">
        <v>1</v>
      </c>
      <c r="E323" s="11">
        <v>1</v>
      </c>
      <c r="F323" s="11">
        <v>1</v>
      </c>
      <c r="G323" s="11">
        <v>1</v>
      </c>
      <c r="H323" s="11">
        <v>1</v>
      </c>
      <c r="I323" s="11">
        <v>0</v>
      </c>
      <c r="J323" s="11">
        <v>1</v>
      </c>
      <c r="K323" s="11">
        <v>0</v>
      </c>
      <c r="L323" s="11">
        <v>1</v>
      </c>
      <c r="M323" s="11">
        <v>1</v>
      </c>
      <c r="N323" s="11">
        <v>1</v>
      </c>
      <c r="O323" s="11">
        <v>0</v>
      </c>
      <c r="P323" s="11">
        <v>1</v>
      </c>
      <c r="Q323" s="11">
        <v>1</v>
      </c>
      <c r="R323" s="11">
        <v>1</v>
      </c>
      <c r="S323" s="11">
        <v>1</v>
      </c>
      <c r="T323" s="11">
        <v>0</v>
      </c>
      <c r="U323" s="11">
        <v>1</v>
      </c>
      <c r="V323" s="11">
        <v>0</v>
      </c>
      <c r="W323" s="11">
        <v>1</v>
      </c>
      <c r="X323" s="11">
        <v>0</v>
      </c>
      <c r="Y323" s="11">
        <v>0</v>
      </c>
      <c r="Z323" s="11">
        <v>0</v>
      </c>
      <c r="AA323" s="11">
        <v>1</v>
      </c>
      <c r="AB323" s="11">
        <v>0</v>
      </c>
      <c r="AC323" s="11">
        <v>0</v>
      </c>
      <c r="AD323" s="11">
        <v>0</v>
      </c>
      <c r="AE323" s="11">
        <v>0</v>
      </c>
      <c r="AF323" s="11">
        <v>1</v>
      </c>
      <c r="AG323" s="11">
        <v>0</v>
      </c>
      <c r="AH323" s="11">
        <v>0</v>
      </c>
      <c r="AI323" s="11">
        <v>0</v>
      </c>
      <c r="AJ323" s="11">
        <v>0</v>
      </c>
      <c r="AK323" s="11">
        <v>1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1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1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5">
        <f t="shared" si="46"/>
        <v>60.062661546666924</v>
      </c>
      <c r="BH323" s="3">
        <f t="shared" si="47"/>
        <v>15.338713784159827</v>
      </c>
      <c r="BI323" s="3">
        <f t="shared" si="48"/>
        <v>39.661286215840171</v>
      </c>
      <c r="BJ323" s="3">
        <f t="shared" si="49"/>
        <v>-0.9499956083885025</v>
      </c>
      <c r="BK323" s="3">
        <f t="shared" ref="BK323:BK386" si="50">AVERAGE($BJ$2:$BJ$472)</f>
        <v>-0.45609683602320777</v>
      </c>
      <c r="BL323" s="3">
        <f t="shared" ref="BL323:BL386" si="51">_xlfn.STDEV.S($BJ$2:$BJ$472)</f>
        <v>0.94333424358242735</v>
      </c>
      <c r="BM323" s="3">
        <f t="shared" ref="BM323:BM386" si="52">(BJ323-BK323)/BL323</f>
        <v>-0.52356709800934786</v>
      </c>
      <c r="BN323" s="3">
        <f t="shared" ref="BN323:BN386" si="53">50+10*BM323</f>
        <v>44.764329019906519</v>
      </c>
      <c r="BO323" s="2" t="str">
        <f t="shared" ref="BO323:BO386" si="54">IF(BN323&lt;45,"NC",IF(BN323&lt;50,"C",IF(BN323&lt;55,"C+",IF(BN323&lt;60,"B",IF(BN323&lt;65,"B+",IF(BN323&lt;=70,"A","A+"))))))</f>
        <v>NC</v>
      </c>
    </row>
    <row r="324" spans="1:67" x14ac:dyDescent="0.35">
      <c r="A324" s="15">
        <v>323</v>
      </c>
      <c r="B324" s="10" t="s">
        <v>302</v>
      </c>
      <c r="C324" s="11">
        <v>20</v>
      </c>
      <c r="D324" s="11">
        <v>1</v>
      </c>
      <c r="E324" s="11">
        <v>0</v>
      </c>
      <c r="F324" s="11">
        <v>1</v>
      </c>
      <c r="G324" s="11">
        <v>1</v>
      </c>
      <c r="H324" s="11">
        <v>1</v>
      </c>
      <c r="I324" s="11">
        <v>0</v>
      </c>
      <c r="J324" s="11">
        <v>0</v>
      </c>
      <c r="K324" s="11">
        <v>1</v>
      </c>
      <c r="L324" s="11">
        <v>1</v>
      </c>
      <c r="M324" s="11">
        <v>1</v>
      </c>
      <c r="N324" s="11">
        <v>0</v>
      </c>
      <c r="O324" s="11">
        <v>0</v>
      </c>
      <c r="P324" s="11">
        <v>1</v>
      </c>
      <c r="Q324" s="11">
        <v>1</v>
      </c>
      <c r="R324" s="11">
        <v>0</v>
      </c>
      <c r="S324" s="11">
        <v>1</v>
      </c>
      <c r="T324" s="11">
        <v>1</v>
      </c>
      <c r="U324" s="11">
        <v>1</v>
      </c>
      <c r="V324" s="11">
        <v>0</v>
      </c>
      <c r="W324" s="11">
        <v>0</v>
      </c>
      <c r="X324" s="11">
        <v>1</v>
      </c>
      <c r="Y324" s="11">
        <v>1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1</v>
      </c>
      <c r="AF324" s="11">
        <v>1</v>
      </c>
      <c r="AG324" s="11">
        <v>1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1</v>
      </c>
      <c r="AU324" s="11">
        <v>0</v>
      </c>
      <c r="AV324" s="11">
        <v>0</v>
      </c>
      <c r="AW324" s="11">
        <v>1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1</v>
      </c>
      <c r="BD324" s="11">
        <v>0</v>
      </c>
      <c r="BE324" s="11">
        <v>0</v>
      </c>
      <c r="BF324" s="11">
        <v>0</v>
      </c>
      <c r="BG324" s="5">
        <f t="shared" ref="BG324:BG387" si="55">D324*$D$477+E324*$E$477+F324*$F$477+G324*$G$477+H324*$H$477+I324*$I$477+J324*$J$477+K324*$K$477+L324*$L$477+M324*$M$477+N324*$N$477+O324*$O$477+P324*$P$477+Q324*$Q$477+R324*$R$477+S324*$S$477+T324*$T$477+U324*$U$477+V324*$V$477+W324*W$477+X324*$X$477+Y324*$Y$477+Z324*$Z$477+AA324*$AA$477+AB324*$AB$477+AC324*$AC$477+AD324*$AD$477+AE324*$AE$477+AF324*$AF$477+AG324*$AG$477+AH324*$AH$477+AI324*$AI$477+AJ324*$AJ$477+AK324*$AK$477+AL324*$AL$477+AM324*$AM$477+AN324*$AN$477+AO324*$AO$477+AP324*$AP$477+AQ324*$AQ$477+AR324*$AR$477+AS324*$AS$477+AT324*$AT$477+AU324*$AU$477+AV324*$AV$477+AW324*$AW$477+AX324*$AX$477+AY324*$AY$477+AZ324*$AZ$477+BA324*$BA$477+BB324*$BB$477+BC324*$BC$477+BD324*$BD$477+BE324*$BE$477+BF324*$BF$477</f>
        <v>60.004326445414542</v>
      </c>
      <c r="BH324" s="3">
        <f t="shared" ref="BH324:BH387" si="56">BG324*55/$BG$2</f>
        <v>15.323816252171754</v>
      </c>
      <c r="BI324" s="3">
        <f t="shared" ref="BI324:BI387" si="57">55-BH324</f>
        <v>39.676183747828247</v>
      </c>
      <c r="BJ324" s="3">
        <f t="shared" si="49"/>
        <v>-0.95134286616780261</v>
      </c>
      <c r="BK324" s="3">
        <f t="shared" si="50"/>
        <v>-0.45609683602320777</v>
      </c>
      <c r="BL324" s="3">
        <f t="shared" si="51"/>
        <v>0.94333424358242735</v>
      </c>
      <c r="BM324" s="3">
        <f t="shared" si="52"/>
        <v>-0.52499528508987159</v>
      </c>
      <c r="BN324" s="3">
        <f t="shared" si="53"/>
        <v>44.750047149101285</v>
      </c>
      <c r="BO324" s="2" t="str">
        <f t="shared" si="54"/>
        <v>NC</v>
      </c>
    </row>
    <row r="325" spans="1:67" x14ac:dyDescent="0.35">
      <c r="A325" s="15">
        <v>324</v>
      </c>
      <c r="B325" s="10" t="s">
        <v>303</v>
      </c>
      <c r="C325" s="11">
        <v>20</v>
      </c>
      <c r="D325" s="11">
        <v>1</v>
      </c>
      <c r="E325" s="11">
        <v>0</v>
      </c>
      <c r="F325" s="11">
        <v>1</v>
      </c>
      <c r="G325" s="11">
        <v>1</v>
      </c>
      <c r="H325" s="11">
        <v>1</v>
      </c>
      <c r="I325" s="11">
        <v>1</v>
      </c>
      <c r="J325" s="11">
        <v>1</v>
      </c>
      <c r="K325" s="11">
        <v>0</v>
      </c>
      <c r="L325" s="11">
        <v>0</v>
      </c>
      <c r="M325" s="11">
        <v>0</v>
      </c>
      <c r="N325" s="11">
        <v>1</v>
      </c>
      <c r="O325" s="11">
        <v>1</v>
      </c>
      <c r="P325" s="11">
        <v>0</v>
      </c>
      <c r="Q325" s="11">
        <v>1</v>
      </c>
      <c r="R325" s="11">
        <v>0</v>
      </c>
      <c r="S325" s="11">
        <v>0</v>
      </c>
      <c r="T325" s="11">
        <v>1</v>
      </c>
      <c r="U325" s="11">
        <v>1</v>
      </c>
      <c r="V325" s="11">
        <v>1</v>
      </c>
      <c r="W325" s="11">
        <v>0</v>
      </c>
      <c r="X325" s="11">
        <v>1</v>
      </c>
      <c r="Y325" s="11">
        <v>1</v>
      </c>
      <c r="Z325" s="11">
        <v>1</v>
      </c>
      <c r="AA325" s="11">
        <v>0</v>
      </c>
      <c r="AB325" s="11">
        <v>0</v>
      </c>
      <c r="AC325" s="11">
        <v>0</v>
      </c>
      <c r="AD325" s="11">
        <v>0</v>
      </c>
      <c r="AE325" s="11">
        <v>1</v>
      </c>
      <c r="AF325" s="11">
        <v>1</v>
      </c>
      <c r="AG325" s="11">
        <v>0</v>
      </c>
      <c r="AH325" s="11">
        <v>0</v>
      </c>
      <c r="AI325" s="11">
        <v>1</v>
      </c>
      <c r="AJ325" s="11">
        <v>0</v>
      </c>
      <c r="AK325" s="11">
        <v>1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1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5">
        <f t="shared" si="55"/>
        <v>59.945994325681283</v>
      </c>
      <c r="BH325" s="3">
        <f t="shared" si="56"/>
        <v>15.308919481599631</v>
      </c>
      <c r="BI325" s="3">
        <f t="shared" si="57"/>
        <v>39.691080518400369</v>
      </c>
      <c r="BJ325" s="3">
        <f t="shared" si="49"/>
        <v>-0.95269085918058005</v>
      </c>
      <c r="BK325" s="3">
        <f t="shared" si="50"/>
        <v>-0.45609683602320777</v>
      </c>
      <c r="BL325" s="3">
        <f t="shared" si="51"/>
        <v>0.94333424358242735</v>
      </c>
      <c r="BM325" s="3">
        <f t="shared" si="52"/>
        <v>-0.52642425156908923</v>
      </c>
      <c r="BN325" s="3">
        <f t="shared" si="53"/>
        <v>44.735757484309104</v>
      </c>
      <c r="BO325" s="2" t="str">
        <f t="shared" si="54"/>
        <v>NC</v>
      </c>
    </row>
    <row r="326" spans="1:67" x14ac:dyDescent="0.35">
      <c r="A326" s="1">
        <v>325</v>
      </c>
      <c r="B326" s="10" t="s">
        <v>304</v>
      </c>
      <c r="C326" s="11">
        <v>21</v>
      </c>
      <c r="D326" s="11">
        <v>1</v>
      </c>
      <c r="E326" s="11">
        <v>1</v>
      </c>
      <c r="F326" s="11">
        <v>1</v>
      </c>
      <c r="G326" s="11">
        <v>1</v>
      </c>
      <c r="H326" s="11">
        <v>1</v>
      </c>
      <c r="I326" s="11">
        <v>0</v>
      </c>
      <c r="J326" s="11">
        <v>1</v>
      </c>
      <c r="K326" s="11">
        <v>1</v>
      </c>
      <c r="L326" s="11">
        <v>1</v>
      </c>
      <c r="M326" s="11">
        <v>1</v>
      </c>
      <c r="N326" s="11">
        <v>1</v>
      </c>
      <c r="O326" s="11">
        <v>0</v>
      </c>
      <c r="P326" s="11">
        <v>1</v>
      </c>
      <c r="Q326" s="11">
        <v>1</v>
      </c>
      <c r="R326" s="11">
        <v>0</v>
      </c>
      <c r="S326" s="11">
        <v>1</v>
      </c>
      <c r="T326" s="11">
        <v>1</v>
      </c>
      <c r="U326" s="11">
        <v>0</v>
      </c>
      <c r="V326" s="11">
        <v>0</v>
      </c>
      <c r="W326" s="11">
        <v>1</v>
      </c>
      <c r="X326" s="11">
        <v>1</v>
      </c>
      <c r="Y326" s="11">
        <v>1</v>
      </c>
      <c r="Z326" s="11">
        <v>1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1</v>
      </c>
      <c r="AI326" s="11">
        <v>0</v>
      </c>
      <c r="AJ326" s="11">
        <v>0</v>
      </c>
      <c r="AK326" s="11">
        <v>0</v>
      </c>
      <c r="AL326" s="11">
        <v>0</v>
      </c>
      <c r="AM326" s="11">
        <v>1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1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5">
        <f t="shared" si="55"/>
        <v>59.556552311881511</v>
      </c>
      <c r="BH326" s="3">
        <f t="shared" si="56"/>
        <v>15.209464355380153</v>
      </c>
      <c r="BI326" s="3">
        <f t="shared" si="57"/>
        <v>39.790535644619851</v>
      </c>
      <c r="BJ326" s="3">
        <f t="shared" si="49"/>
        <v>-0.9617111970958393</v>
      </c>
      <c r="BK326" s="3">
        <f t="shared" si="50"/>
        <v>-0.45609683602320777</v>
      </c>
      <c r="BL326" s="3">
        <f t="shared" si="51"/>
        <v>0.94333424358242735</v>
      </c>
      <c r="BM326" s="3">
        <f t="shared" si="52"/>
        <v>-0.53598643801215051</v>
      </c>
      <c r="BN326" s="3">
        <f t="shared" si="53"/>
        <v>44.640135619878492</v>
      </c>
      <c r="BO326" s="2" t="str">
        <f t="shared" si="54"/>
        <v>NC</v>
      </c>
    </row>
    <row r="327" spans="1:67" x14ac:dyDescent="0.35">
      <c r="A327" s="15">
        <v>326</v>
      </c>
      <c r="B327" s="10" t="s">
        <v>305</v>
      </c>
      <c r="C327" s="11">
        <v>20</v>
      </c>
      <c r="D327" s="11">
        <v>1</v>
      </c>
      <c r="E327" s="11">
        <v>0</v>
      </c>
      <c r="F327" s="11">
        <v>1</v>
      </c>
      <c r="G327" s="11">
        <v>1</v>
      </c>
      <c r="H327" s="11">
        <v>1</v>
      </c>
      <c r="I327" s="11">
        <v>1</v>
      </c>
      <c r="J327" s="11">
        <v>1</v>
      </c>
      <c r="K327" s="11">
        <v>1</v>
      </c>
      <c r="L327" s="11">
        <v>1</v>
      </c>
      <c r="M327" s="11">
        <v>1</v>
      </c>
      <c r="N327" s="11">
        <v>0</v>
      </c>
      <c r="O327" s="11">
        <v>0</v>
      </c>
      <c r="P327" s="11">
        <v>1</v>
      </c>
      <c r="Q327" s="11">
        <v>1</v>
      </c>
      <c r="R327" s="11">
        <v>0</v>
      </c>
      <c r="S327" s="11">
        <v>0</v>
      </c>
      <c r="T327" s="11">
        <v>1</v>
      </c>
      <c r="U327" s="11">
        <v>0</v>
      </c>
      <c r="V327" s="11">
        <v>1</v>
      </c>
      <c r="W327" s="11">
        <v>0</v>
      </c>
      <c r="X327" s="11">
        <v>1</v>
      </c>
      <c r="Y327" s="11">
        <v>1</v>
      </c>
      <c r="Z327" s="11">
        <v>0</v>
      </c>
      <c r="AA327" s="11">
        <v>1</v>
      </c>
      <c r="AB327" s="11">
        <v>0</v>
      </c>
      <c r="AC327" s="11">
        <v>0</v>
      </c>
      <c r="AD327" s="11">
        <v>0</v>
      </c>
      <c r="AE327" s="11">
        <v>1</v>
      </c>
      <c r="AF327" s="11">
        <v>0</v>
      </c>
      <c r="AG327" s="11">
        <v>0</v>
      </c>
      <c r="AH327" s="11">
        <v>0</v>
      </c>
      <c r="AI327" s="11">
        <v>0</v>
      </c>
      <c r="AJ327" s="11">
        <v>1</v>
      </c>
      <c r="AK327" s="11">
        <v>1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1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5">
        <f t="shared" si="55"/>
        <v>58.911077219216196</v>
      </c>
      <c r="BH327" s="3">
        <f t="shared" si="56"/>
        <v>15.044623879679543</v>
      </c>
      <c r="BI327" s="3">
        <f t="shared" si="57"/>
        <v>39.955376120320459</v>
      </c>
      <c r="BJ327" s="3">
        <f t="shared" si="49"/>
        <v>-0.97674252429988051</v>
      </c>
      <c r="BK327" s="3">
        <f t="shared" si="50"/>
        <v>-0.45609683602320777</v>
      </c>
      <c r="BL327" s="3">
        <f t="shared" si="51"/>
        <v>0.94333424358242735</v>
      </c>
      <c r="BM327" s="3">
        <f t="shared" si="52"/>
        <v>-0.55192069175762881</v>
      </c>
      <c r="BN327" s="3">
        <f t="shared" si="53"/>
        <v>44.480793082423709</v>
      </c>
      <c r="BO327" s="2" t="str">
        <f t="shared" si="54"/>
        <v>NC</v>
      </c>
    </row>
    <row r="328" spans="1:67" x14ac:dyDescent="0.35">
      <c r="A328" s="15">
        <v>327</v>
      </c>
      <c r="B328" s="10" t="s">
        <v>306</v>
      </c>
      <c r="C328" s="11">
        <v>20</v>
      </c>
      <c r="D328" s="11">
        <v>1</v>
      </c>
      <c r="E328" s="11">
        <v>0</v>
      </c>
      <c r="F328" s="11">
        <v>1</v>
      </c>
      <c r="G328" s="11">
        <v>1</v>
      </c>
      <c r="H328" s="11">
        <v>1</v>
      </c>
      <c r="I328" s="11">
        <v>0</v>
      </c>
      <c r="J328" s="11">
        <v>0</v>
      </c>
      <c r="K328" s="11">
        <v>1</v>
      </c>
      <c r="L328" s="11">
        <v>1</v>
      </c>
      <c r="M328" s="11">
        <v>1</v>
      </c>
      <c r="N328" s="11">
        <v>0</v>
      </c>
      <c r="O328" s="11">
        <v>1</v>
      </c>
      <c r="P328" s="11">
        <v>0</v>
      </c>
      <c r="Q328" s="11">
        <v>1</v>
      </c>
      <c r="R328" s="11">
        <v>0</v>
      </c>
      <c r="S328" s="11">
        <v>1</v>
      </c>
      <c r="T328" s="11">
        <v>1</v>
      </c>
      <c r="U328" s="11">
        <v>1</v>
      </c>
      <c r="V328" s="11">
        <v>1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1</v>
      </c>
      <c r="AD328" s="11">
        <v>0</v>
      </c>
      <c r="AE328" s="11">
        <v>0</v>
      </c>
      <c r="AF328" s="11">
        <v>0</v>
      </c>
      <c r="AG328" s="11">
        <v>0</v>
      </c>
      <c r="AH328" s="11">
        <v>1</v>
      </c>
      <c r="AI328" s="11">
        <v>0</v>
      </c>
      <c r="AJ328" s="11">
        <v>1</v>
      </c>
      <c r="AK328" s="11">
        <v>0</v>
      </c>
      <c r="AL328" s="11">
        <v>1</v>
      </c>
      <c r="AM328" s="11">
        <v>1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1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1</v>
      </c>
      <c r="BE328" s="11">
        <v>0</v>
      </c>
      <c r="BF328" s="11">
        <v>0</v>
      </c>
      <c r="BG328" s="5">
        <f t="shared" si="55"/>
        <v>58.430668994402168</v>
      </c>
      <c r="BH328" s="3">
        <f t="shared" si="56"/>
        <v>14.921937936862086</v>
      </c>
      <c r="BI328" s="3">
        <f t="shared" si="57"/>
        <v>40.078062063137914</v>
      </c>
      <c r="BJ328" s="3">
        <f t="shared" si="49"/>
        <v>-0.98799662901905083</v>
      </c>
      <c r="BK328" s="3">
        <f t="shared" si="50"/>
        <v>-0.45609683602320777</v>
      </c>
      <c r="BL328" s="3">
        <f t="shared" si="51"/>
        <v>0.94333424358242735</v>
      </c>
      <c r="BM328" s="3">
        <f t="shared" si="52"/>
        <v>-0.56385082659131347</v>
      </c>
      <c r="BN328" s="3">
        <f t="shared" si="53"/>
        <v>44.361491734086869</v>
      </c>
      <c r="BO328" s="2" t="str">
        <f t="shared" si="54"/>
        <v>NC</v>
      </c>
    </row>
    <row r="329" spans="1:67" x14ac:dyDescent="0.35">
      <c r="A329" s="1">
        <v>328</v>
      </c>
      <c r="B329" s="10" t="s">
        <v>307</v>
      </c>
      <c r="C329" s="11">
        <v>18</v>
      </c>
      <c r="D329" s="11">
        <v>1</v>
      </c>
      <c r="E329" s="11">
        <v>1</v>
      </c>
      <c r="F329" s="11">
        <v>0</v>
      </c>
      <c r="G329" s="11">
        <v>1</v>
      </c>
      <c r="H329" s="11">
        <v>1</v>
      </c>
      <c r="I329" s="11">
        <v>0</v>
      </c>
      <c r="J329" s="11">
        <v>0</v>
      </c>
      <c r="K329" s="11">
        <v>0</v>
      </c>
      <c r="L329" s="11">
        <v>1</v>
      </c>
      <c r="M329" s="11">
        <v>1</v>
      </c>
      <c r="N329" s="11">
        <v>1</v>
      </c>
      <c r="O329" s="11">
        <v>0</v>
      </c>
      <c r="P329" s="11">
        <v>1</v>
      </c>
      <c r="Q329" s="11">
        <v>0</v>
      </c>
      <c r="R329" s="11">
        <v>0</v>
      </c>
      <c r="S329" s="11">
        <v>1</v>
      </c>
      <c r="T329" s="11">
        <v>0</v>
      </c>
      <c r="U329" s="11">
        <v>1</v>
      </c>
      <c r="V329" s="11">
        <v>0</v>
      </c>
      <c r="W329" s="11">
        <v>0</v>
      </c>
      <c r="X329" s="11">
        <v>1</v>
      </c>
      <c r="Y329" s="11">
        <v>0</v>
      </c>
      <c r="Z329" s="11">
        <v>1</v>
      </c>
      <c r="AA329" s="11">
        <v>0</v>
      </c>
      <c r="AB329" s="11">
        <v>1</v>
      </c>
      <c r="AC329" s="11">
        <v>0</v>
      </c>
      <c r="AD329" s="11">
        <v>1</v>
      </c>
      <c r="AE329" s="11">
        <v>1</v>
      </c>
      <c r="AF329" s="11">
        <v>0</v>
      </c>
      <c r="AG329" s="11">
        <v>1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1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1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5">
        <f t="shared" si="55"/>
        <v>58.300262779924111</v>
      </c>
      <c r="BH329" s="3">
        <f t="shared" si="56"/>
        <v>14.888634990438366</v>
      </c>
      <c r="BI329" s="3">
        <f t="shared" si="57"/>
        <v>40.111365009561638</v>
      </c>
      <c r="BJ329" s="3">
        <f t="shared" si="49"/>
        <v>-0.99106154126661117</v>
      </c>
      <c r="BK329" s="3">
        <f t="shared" si="50"/>
        <v>-0.45609683602320777</v>
      </c>
      <c r="BL329" s="3">
        <f t="shared" si="51"/>
        <v>0.94333424358242735</v>
      </c>
      <c r="BM329" s="3">
        <f t="shared" si="52"/>
        <v>-0.56709984704022776</v>
      </c>
      <c r="BN329" s="3">
        <f t="shared" si="53"/>
        <v>44.329001529597718</v>
      </c>
      <c r="BO329" s="2" t="str">
        <f t="shared" si="54"/>
        <v>NC</v>
      </c>
    </row>
    <row r="330" spans="1:67" x14ac:dyDescent="0.35">
      <c r="A330" s="15">
        <v>329</v>
      </c>
      <c r="B330" s="10" t="s">
        <v>308</v>
      </c>
      <c r="C330" s="11">
        <v>20</v>
      </c>
      <c r="D330" s="11">
        <v>1</v>
      </c>
      <c r="E330" s="11">
        <v>0</v>
      </c>
      <c r="F330" s="11">
        <v>1</v>
      </c>
      <c r="G330" s="11">
        <v>1</v>
      </c>
      <c r="H330" s="11">
        <v>1</v>
      </c>
      <c r="I330" s="11">
        <v>0</v>
      </c>
      <c r="J330" s="11">
        <v>1</v>
      </c>
      <c r="K330" s="11">
        <v>0</v>
      </c>
      <c r="L330" s="11">
        <v>1</v>
      </c>
      <c r="M330" s="11">
        <v>1</v>
      </c>
      <c r="N330" s="11">
        <v>1</v>
      </c>
      <c r="O330" s="11">
        <v>1</v>
      </c>
      <c r="P330" s="11">
        <v>1</v>
      </c>
      <c r="Q330" s="11">
        <v>1</v>
      </c>
      <c r="R330" s="11">
        <v>0</v>
      </c>
      <c r="S330" s="11">
        <v>0</v>
      </c>
      <c r="T330" s="11">
        <v>0</v>
      </c>
      <c r="U330" s="11">
        <v>1</v>
      </c>
      <c r="V330" s="11">
        <v>0</v>
      </c>
      <c r="W330" s="11">
        <v>1</v>
      </c>
      <c r="X330" s="11">
        <v>1</v>
      </c>
      <c r="Y330" s="11">
        <v>1</v>
      </c>
      <c r="Z330" s="11">
        <v>1</v>
      </c>
      <c r="AA330" s="11">
        <v>0</v>
      </c>
      <c r="AB330" s="11">
        <v>0</v>
      </c>
      <c r="AC330" s="11">
        <v>1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1</v>
      </c>
      <c r="AJ330" s="11">
        <v>0</v>
      </c>
      <c r="AK330" s="11">
        <v>1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1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5">
        <f t="shared" si="55"/>
        <v>58.217634038815739</v>
      </c>
      <c r="BH330" s="3">
        <f t="shared" si="56"/>
        <v>14.867533384589246</v>
      </c>
      <c r="BI330" s="3">
        <f t="shared" si="57"/>
        <v>40.132466615410756</v>
      </c>
      <c r="BJ330" s="3">
        <f t="shared" si="49"/>
        <v>-0.99300577994149208</v>
      </c>
      <c r="BK330" s="3">
        <f t="shared" si="50"/>
        <v>-0.45609683602320777</v>
      </c>
      <c r="BL330" s="3">
        <f t="shared" si="51"/>
        <v>0.94333424358242735</v>
      </c>
      <c r="BM330" s="3">
        <f t="shared" si="52"/>
        <v>-0.56916087544888316</v>
      </c>
      <c r="BN330" s="3">
        <f t="shared" si="53"/>
        <v>44.308391245511167</v>
      </c>
      <c r="BO330" s="2" t="str">
        <f t="shared" si="54"/>
        <v>NC</v>
      </c>
    </row>
    <row r="331" spans="1:67" x14ac:dyDescent="0.35">
      <c r="A331" s="15">
        <v>330</v>
      </c>
      <c r="B331" s="10" t="s">
        <v>309</v>
      </c>
      <c r="C331" s="11">
        <v>20</v>
      </c>
      <c r="D331" s="11">
        <v>0</v>
      </c>
      <c r="E331" s="11">
        <v>1</v>
      </c>
      <c r="F331" s="11">
        <v>1</v>
      </c>
      <c r="G331" s="11">
        <v>1</v>
      </c>
      <c r="H331" s="11">
        <v>1</v>
      </c>
      <c r="I331" s="11">
        <v>1</v>
      </c>
      <c r="J331" s="11">
        <v>1</v>
      </c>
      <c r="K331" s="11">
        <v>1</v>
      </c>
      <c r="L331" s="11">
        <v>1</v>
      </c>
      <c r="M331" s="11">
        <v>1</v>
      </c>
      <c r="N331" s="11">
        <v>1</v>
      </c>
      <c r="O331" s="11">
        <v>1</v>
      </c>
      <c r="P331" s="11">
        <v>0</v>
      </c>
      <c r="Q331" s="11">
        <v>0</v>
      </c>
      <c r="R331" s="11">
        <v>0</v>
      </c>
      <c r="S331" s="11">
        <v>1</v>
      </c>
      <c r="T331" s="11">
        <v>1</v>
      </c>
      <c r="U331" s="11">
        <v>1</v>
      </c>
      <c r="V331" s="11">
        <v>0</v>
      </c>
      <c r="W331" s="11">
        <v>1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1</v>
      </c>
      <c r="AD331" s="11">
        <v>1</v>
      </c>
      <c r="AE331" s="11">
        <v>0</v>
      </c>
      <c r="AF331" s="11">
        <v>0</v>
      </c>
      <c r="AG331" s="11">
        <v>0</v>
      </c>
      <c r="AH331" s="11">
        <v>0</v>
      </c>
      <c r="AI331" s="11">
        <v>1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1</v>
      </c>
      <c r="AT331" s="11">
        <v>1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5">
        <f t="shared" si="55"/>
        <v>58.200236190030715</v>
      </c>
      <c r="BH331" s="3">
        <f t="shared" si="56"/>
        <v>14.86309034766578</v>
      </c>
      <c r="BI331" s="3">
        <f t="shared" si="57"/>
        <v>40.136909652334218</v>
      </c>
      <c r="BJ331" s="3">
        <f t="shared" si="49"/>
        <v>-0.99341536933026486</v>
      </c>
      <c r="BK331" s="3">
        <f t="shared" si="50"/>
        <v>-0.45609683602320777</v>
      </c>
      <c r="BL331" s="3">
        <f t="shared" si="51"/>
        <v>0.94333424358242735</v>
      </c>
      <c r="BM331" s="3">
        <f t="shared" si="52"/>
        <v>-0.56959506872826349</v>
      </c>
      <c r="BN331" s="3">
        <f t="shared" si="53"/>
        <v>44.304049312717368</v>
      </c>
      <c r="BO331" s="2" t="str">
        <f t="shared" si="54"/>
        <v>NC</v>
      </c>
    </row>
    <row r="332" spans="1:67" x14ac:dyDescent="0.35">
      <c r="A332" s="1">
        <v>331</v>
      </c>
      <c r="B332" s="10" t="s">
        <v>310</v>
      </c>
      <c r="C332" s="11">
        <v>19</v>
      </c>
      <c r="D332" s="11">
        <v>1</v>
      </c>
      <c r="E332" s="11">
        <v>0</v>
      </c>
      <c r="F332" s="11">
        <v>1</v>
      </c>
      <c r="G332" s="11">
        <v>0</v>
      </c>
      <c r="H332" s="11">
        <v>1</v>
      </c>
      <c r="I332" s="11">
        <v>1</v>
      </c>
      <c r="J332" s="11">
        <v>1</v>
      </c>
      <c r="K332" s="11">
        <v>0</v>
      </c>
      <c r="L332" s="11">
        <v>1</v>
      </c>
      <c r="M332" s="11">
        <v>1</v>
      </c>
      <c r="N332" s="11">
        <v>1</v>
      </c>
      <c r="O332" s="11">
        <v>1</v>
      </c>
      <c r="P332" s="11">
        <v>0</v>
      </c>
      <c r="Q332" s="11">
        <v>1</v>
      </c>
      <c r="R332" s="11">
        <v>0</v>
      </c>
      <c r="S332" s="11">
        <v>1</v>
      </c>
      <c r="T332" s="11">
        <v>0</v>
      </c>
      <c r="U332" s="11">
        <v>1</v>
      </c>
      <c r="V332" s="11">
        <v>1</v>
      </c>
      <c r="W332" s="11">
        <v>0</v>
      </c>
      <c r="X332" s="11">
        <v>0</v>
      </c>
      <c r="Y332" s="11">
        <v>0</v>
      </c>
      <c r="Z332" s="11">
        <v>1</v>
      </c>
      <c r="AA332" s="11">
        <v>0</v>
      </c>
      <c r="AB332" s="11">
        <v>0</v>
      </c>
      <c r="AC332" s="11">
        <v>0</v>
      </c>
      <c r="AD332" s="11">
        <v>0</v>
      </c>
      <c r="AE332" s="11">
        <v>1</v>
      </c>
      <c r="AF332" s="11">
        <v>0</v>
      </c>
      <c r="AG332" s="11">
        <v>0</v>
      </c>
      <c r="AH332" s="11">
        <v>0</v>
      </c>
      <c r="AI332" s="11">
        <v>1</v>
      </c>
      <c r="AJ332" s="11">
        <v>0</v>
      </c>
      <c r="AK332" s="11">
        <v>1</v>
      </c>
      <c r="AL332" s="11">
        <v>0</v>
      </c>
      <c r="AM332" s="11">
        <v>1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1</v>
      </c>
      <c r="BG332" s="5">
        <f t="shared" si="55"/>
        <v>57.892048628007835</v>
      </c>
      <c r="BH332" s="3">
        <f t="shared" si="56"/>
        <v>14.784385863315981</v>
      </c>
      <c r="BI332" s="3">
        <f t="shared" si="57"/>
        <v>40.215614136684017</v>
      </c>
      <c r="BJ332" s="3">
        <f t="shared" si="49"/>
        <v>-1.0006837169524234</v>
      </c>
      <c r="BK332" s="3">
        <f t="shared" si="50"/>
        <v>-0.45609683602320777</v>
      </c>
      <c r="BL332" s="3">
        <f t="shared" si="51"/>
        <v>0.94333424358242735</v>
      </c>
      <c r="BM332" s="3">
        <f t="shared" si="52"/>
        <v>-0.57730002343716491</v>
      </c>
      <c r="BN332" s="3">
        <f t="shared" si="53"/>
        <v>44.226999765628349</v>
      </c>
      <c r="BO332" s="2" t="str">
        <f t="shared" si="54"/>
        <v>NC</v>
      </c>
    </row>
    <row r="333" spans="1:67" x14ac:dyDescent="0.35">
      <c r="A333" s="15">
        <v>332</v>
      </c>
      <c r="B333" s="10" t="s">
        <v>311</v>
      </c>
      <c r="C333" s="11">
        <v>20</v>
      </c>
      <c r="D333" s="11">
        <v>1</v>
      </c>
      <c r="E333" s="11">
        <v>1</v>
      </c>
      <c r="F333" s="11">
        <v>1</v>
      </c>
      <c r="G333" s="11">
        <v>1</v>
      </c>
      <c r="H333" s="11">
        <v>1</v>
      </c>
      <c r="I333" s="11">
        <v>1</v>
      </c>
      <c r="J333" s="11">
        <v>1</v>
      </c>
      <c r="K333" s="11">
        <v>1</v>
      </c>
      <c r="L333" s="11">
        <v>1</v>
      </c>
      <c r="M333" s="11">
        <v>0</v>
      </c>
      <c r="N333" s="11">
        <v>1</v>
      </c>
      <c r="O333" s="11">
        <v>0</v>
      </c>
      <c r="P333" s="11">
        <v>0</v>
      </c>
      <c r="Q333" s="11">
        <v>1</v>
      </c>
      <c r="R333" s="11">
        <v>0</v>
      </c>
      <c r="S333" s="11">
        <v>1</v>
      </c>
      <c r="T333" s="11">
        <v>0</v>
      </c>
      <c r="U333" s="11">
        <v>1</v>
      </c>
      <c r="V333" s="11">
        <v>1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1</v>
      </c>
      <c r="AF333" s="11">
        <v>0</v>
      </c>
      <c r="AG333" s="11">
        <v>0</v>
      </c>
      <c r="AH333" s="11">
        <v>1</v>
      </c>
      <c r="AI333" s="11">
        <v>1</v>
      </c>
      <c r="AJ333" s="11">
        <v>0</v>
      </c>
      <c r="AK333" s="11">
        <v>0</v>
      </c>
      <c r="AL333" s="11">
        <v>1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1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1</v>
      </c>
      <c r="BC333" s="11">
        <v>0</v>
      </c>
      <c r="BD333" s="11">
        <v>0</v>
      </c>
      <c r="BE333" s="11">
        <v>0</v>
      </c>
      <c r="BF333" s="11">
        <v>0</v>
      </c>
      <c r="BG333" s="5">
        <f t="shared" si="55"/>
        <v>57.87488933389853</v>
      </c>
      <c r="BH333" s="3">
        <f t="shared" si="56"/>
        <v>14.780003748133216</v>
      </c>
      <c r="BI333" s="3">
        <f t="shared" si="57"/>
        <v>40.219996251866782</v>
      </c>
      <c r="BJ333" s="3">
        <f t="shared" si="49"/>
        <v>-1.0010891220387568</v>
      </c>
      <c r="BK333" s="3">
        <f t="shared" si="50"/>
        <v>-0.45609683602320777</v>
      </c>
      <c r="BL333" s="3">
        <f t="shared" si="51"/>
        <v>0.94333424358242735</v>
      </c>
      <c r="BM333" s="3">
        <f t="shared" si="52"/>
        <v>-0.5777297810645291</v>
      </c>
      <c r="BN333" s="3">
        <f t="shared" si="53"/>
        <v>44.222702189354706</v>
      </c>
      <c r="BO333" s="2" t="str">
        <f t="shared" si="54"/>
        <v>NC</v>
      </c>
    </row>
    <row r="334" spans="1:67" x14ac:dyDescent="0.35">
      <c r="A334" s="15">
        <v>333</v>
      </c>
      <c r="B334" s="12">
        <v>7009988</v>
      </c>
      <c r="C334" s="11">
        <v>20</v>
      </c>
      <c r="D334" s="11">
        <v>1</v>
      </c>
      <c r="E334" s="11">
        <v>1</v>
      </c>
      <c r="F334" s="11">
        <v>1</v>
      </c>
      <c r="G334" s="11">
        <v>0</v>
      </c>
      <c r="H334" s="11">
        <v>1</v>
      </c>
      <c r="I334" s="11">
        <v>1</v>
      </c>
      <c r="J334" s="11">
        <v>1</v>
      </c>
      <c r="K334" s="11">
        <v>0</v>
      </c>
      <c r="L334" s="11">
        <v>0</v>
      </c>
      <c r="M334" s="11">
        <v>1</v>
      </c>
      <c r="N334" s="11">
        <v>1</v>
      </c>
      <c r="O334" s="11">
        <v>1</v>
      </c>
      <c r="P334" s="11">
        <v>0</v>
      </c>
      <c r="Q334" s="11">
        <v>1</v>
      </c>
      <c r="R334" s="11">
        <v>0</v>
      </c>
      <c r="S334" s="11">
        <v>1</v>
      </c>
      <c r="T334" s="11">
        <v>0</v>
      </c>
      <c r="U334" s="11">
        <v>1</v>
      </c>
      <c r="V334" s="11">
        <v>1</v>
      </c>
      <c r="W334" s="11">
        <v>0</v>
      </c>
      <c r="X334" s="11">
        <v>1</v>
      </c>
      <c r="Y334" s="11">
        <v>0</v>
      </c>
      <c r="Z334" s="11">
        <v>0</v>
      </c>
      <c r="AA334" s="11">
        <v>0</v>
      </c>
      <c r="AB334" s="11">
        <v>0</v>
      </c>
      <c r="AC334" s="11">
        <v>1</v>
      </c>
      <c r="AD334" s="11">
        <v>0</v>
      </c>
      <c r="AE334" s="11">
        <v>1</v>
      </c>
      <c r="AF334" s="11">
        <v>0</v>
      </c>
      <c r="AG334" s="11">
        <v>1</v>
      </c>
      <c r="AH334" s="11">
        <v>1</v>
      </c>
      <c r="AI334" s="11">
        <v>0</v>
      </c>
      <c r="AJ334" s="11">
        <v>0</v>
      </c>
      <c r="AK334" s="11">
        <v>1</v>
      </c>
      <c r="AL334" s="11">
        <v>0</v>
      </c>
      <c r="AM334" s="11">
        <v>1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5">
        <f t="shared" si="55"/>
        <v>57.635333627154495</v>
      </c>
      <c r="BH334" s="3">
        <f t="shared" si="56"/>
        <v>14.718826365604906</v>
      </c>
      <c r="BI334" s="3">
        <f t="shared" si="57"/>
        <v>40.281173634395095</v>
      </c>
      <c r="BJ334" s="3">
        <f t="shared" si="49"/>
        <v>-1.0067568248028724</v>
      </c>
      <c r="BK334" s="3">
        <f t="shared" si="50"/>
        <v>-0.45609683602320777</v>
      </c>
      <c r="BL334" s="3">
        <f t="shared" si="51"/>
        <v>0.94333424358242735</v>
      </c>
      <c r="BM334" s="3">
        <f t="shared" si="52"/>
        <v>-0.58373794074141294</v>
      </c>
      <c r="BN334" s="3">
        <f t="shared" si="53"/>
        <v>44.162620592585867</v>
      </c>
      <c r="BO334" s="2" t="str">
        <f t="shared" si="54"/>
        <v>NC</v>
      </c>
    </row>
    <row r="335" spans="1:67" x14ac:dyDescent="0.35">
      <c r="A335" s="1">
        <v>334</v>
      </c>
      <c r="B335" s="12">
        <v>2301008</v>
      </c>
      <c r="C335" s="11">
        <v>20</v>
      </c>
      <c r="D335" s="11">
        <v>1</v>
      </c>
      <c r="E335" s="11">
        <v>1</v>
      </c>
      <c r="F335" s="11">
        <v>1</v>
      </c>
      <c r="G335" s="11">
        <v>1</v>
      </c>
      <c r="H335" s="11">
        <v>1</v>
      </c>
      <c r="I335" s="11">
        <v>0</v>
      </c>
      <c r="J335" s="11">
        <v>1</v>
      </c>
      <c r="K335" s="11">
        <v>0</v>
      </c>
      <c r="L335" s="11">
        <v>0</v>
      </c>
      <c r="M335" s="11">
        <v>1</v>
      </c>
      <c r="N335" s="11">
        <v>1</v>
      </c>
      <c r="O335" s="11">
        <v>1</v>
      </c>
      <c r="P335" s="11">
        <v>0</v>
      </c>
      <c r="Q335" s="11">
        <v>1</v>
      </c>
      <c r="R335" s="11">
        <v>1</v>
      </c>
      <c r="S335" s="11">
        <v>0</v>
      </c>
      <c r="T335" s="11">
        <v>1</v>
      </c>
      <c r="U335" s="11">
        <v>0</v>
      </c>
      <c r="V335" s="11">
        <v>1</v>
      </c>
      <c r="W335" s="11">
        <v>1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1</v>
      </c>
      <c r="AD335" s="11">
        <v>0</v>
      </c>
      <c r="AE335" s="11">
        <v>1</v>
      </c>
      <c r="AF335" s="11">
        <v>0</v>
      </c>
      <c r="AG335" s="11">
        <v>1</v>
      </c>
      <c r="AH335" s="11">
        <v>1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1</v>
      </c>
      <c r="AR335" s="11">
        <v>1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5">
        <f t="shared" si="55"/>
        <v>57.613410429465389</v>
      </c>
      <c r="BH335" s="3">
        <f t="shared" si="56"/>
        <v>14.713227651762939</v>
      </c>
      <c r="BI335" s="3">
        <f t="shared" si="57"/>
        <v>40.286772348237065</v>
      </c>
      <c r="BJ335" s="3">
        <f t="shared" si="49"/>
        <v>-1.0072762560741033</v>
      </c>
      <c r="BK335" s="3">
        <f t="shared" si="50"/>
        <v>-0.45609683602320777</v>
      </c>
      <c r="BL335" s="3">
        <f t="shared" si="51"/>
        <v>0.94333424358242735</v>
      </c>
      <c r="BM335" s="3">
        <f t="shared" si="52"/>
        <v>-0.58428857406651979</v>
      </c>
      <c r="BN335" s="3">
        <f t="shared" si="53"/>
        <v>44.157114259334804</v>
      </c>
      <c r="BO335" s="2" t="str">
        <f t="shared" si="54"/>
        <v>NC</v>
      </c>
    </row>
    <row r="336" spans="1:67" x14ac:dyDescent="0.35">
      <c r="A336" s="15">
        <v>335</v>
      </c>
      <c r="B336" s="12">
        <v>7752623</v>
      </c>
      <c r="C336" s="11">
        <v>20</v>
      </c>
      <c r="D336" s="11">
        <v>1</v>
      </c>
      <c r="E336" s="11">
        <v>1</v>
      </c>
      <c r="F336" s="11">
        <v>1</v>
      </c>
      <c r="G336" s="11">
        <v>1</v>
      </c>
      <c r="H336" s="11">
        <v>1</v>
      </c>
      <c r="I336" s="11">
        <v>1</v>
      </c>
      <c r="J336" s="11">
        <v>0</v>
      </c>
      <c r="K336" s="11">
        <v>1</v>
      </c>
      <c r="L336" s="11">
        <v>0</v>
      </c>
      <c r="M336" s="11">
        <v>1</v>
      </c>
      <c r="N336" s="11">
        <v>0</v>
      </c>
      <c r="O336" s="11">
        <v>0</v>
      </c>
      <c r="P336" s="11">
        <v>0</v>
      </c>
      <c r="Q336" s="11">
        <v>1</v>
      </c>
      <c r="R336" s="11">
        <v>0</v>
      </c>
      <c r="S336" s="11">
        <v>1</v>
      </c>
      <c r="T336" s="11">
        <v>1</v>
      </c>
      <c r="U336" s="11">
        <v>1</v>
      </c>
      <c r="V336" s="11">
        <v>1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1</v>
      </c>
      <c r="AC336" s="11">
        <v>1</v>
      </c>
      <c r="AD336" s="11">
        <v>0</v>
      </c>
      <c r="AE336" s="11">
        <v>1</v>
      </c>
      <c r="AF336" s="11">
        <v>1</v>
      </c>
      <c r="AG336" s="11">
        <v>1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1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11">
        <v>1</v>
      </c>
      <c r="BC336" s="11">
        <v>0</v>
      </c>
      <c r="BD336" s="11">
        <v>0</v>
      </c>
      <c r="BE336" s="11">
        <v>0</v>
      </c>
      <c r="BF336" s="11">
        <v>0</v>
      </c>
      <c r="BG336" s="5">
        <f t="shared" si="55"/>
        <v>57.588291244945502</v>
      </c>
      <c r="BH336" s="3">
        <f t="shared" si="56"/>
        <v>14.706812751525081</v>
      </c>
      <c r="BI336" s="3">
        <f t="shared" si="57"/>
        <v>40.293187248474922</v>
      </c>
      <c r="BJ336" s="3">
        <f t="shared" si="49"/>
        <v>-1.0078715648471357</v>
      </c>
      <c r="BK336" s="3">
        <f t="shared" si="50"/>
        <v>-0.45609683602320777</v>
      </c>
      <c r="BL336" s="3">
        <f t="shared" si="51"/>
        <v>0.94333424358242735</v>
      </c>
      <c r="BM336" s="3">
        <f t="shared" si="52"/>
        <v>-0.58491964282828934</v>
      </c>
      <c r="BN336" s="3">
        <f t="shared" si="53"/>
        <v>44.150803571717105</v>
      </c>
      <c r="BO336" s="2" t="str">
        <f t="shared" si="54"/>
        <v>NC</v>
      </c>
    </row>
    <row r="337" spans="1:67" x14ac:dyDescent="0.35">
      <c r="A337" s="15">
        <v>336</v>
      </c>
      <c r="B337" s="10" t="s">
        <v>312</v>
      </c>
      <c r="C337" s="11">
        <v>20</v>
      </c>
      <c r="D337" s="11">
        <v>0</v>
      </c>
      <c r="E337" s="11">
        <v>1</v>
      </c>
      <c r="F337" s="11">
        <v>1</v>
      </c>
      <c r="G337" s="11">
        <v>1</v>
      </c>
      <c r="H337" s="11">
        <v>1</v>
      </c>
      <c r="I337" s="11">
        <v>1</v>
      </c>
      <c r="J337" s="11">
        <v>1</v>
      </c>
      <c r="K337" s="11">
        <v>1</v>
      </c>
      <c r="L337" s="11">
        <v>0</v>
      </c>
      <c r="M337" s="11">
        <v>1</v>
      </c>
      <c r="N337" s="11">
        <v>1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1</v>
      </c>
      <c r="U337" s="11">
        <v>1</v>
      </c>
      <c r="V337" s="11">
        <v>1</v>
      </c>
      <c r="W337" s="11">
        <v>1</v>
      </c>
      <c r="X337" s="11">
        <v>0</v>
      </c>
      <c r="Y337" s="11">
        <v>1</v>
      </c>
      <c r="Z337" s="11">
        <v>1</v>
      </c>
      <c r="AA337" s="11">
        <v>1</v>
      </c>
      <c r="AB337" s="11">
        <v>0</v>
      </c>
      <c r="AC337" s="11">
        <v>1</v>
      </c>
      <c r="AD337" s="11">
        <v>0</v>
      </c>
      <c r="AE337" s="11">
        <v>1</v>
      </c>
      <c r="AF337" s="11">
        <v>1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1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0</v>
      </c>
      <c r="BA337" s="11">
        <v>0</v>
      </c>
      <c r="BB337" s="11">
        <v>0</v>
      </c>
      <c r="BC337" s="11">
        <v>0</v>
      </c>
      <c r="BD337" s="11">
        <v>0</v>
      </c>
      <c r="BE337" s="11">
        <v>0</v>
      </c>
      <c r="BF337" s="11">
        <v>0</v>
      </c>
      <c r="BG337" s="5">
        <f t="shared" si="55"/>
        <v>57.573073585660417</v>
      </c>
      <c r="BH337" s="3">
        <f t="shared" si="56"/>
        <v>14.70292648817564</v>
      </c>
      <c r="BI337" s="3">
        <f t="shared" si="57"/>
        <v>40.297073511824358</v>
      </c>
      <c r="BJ337" s="3">
        <f t="shared" si="49"/>
        <v>-1.0082322939442501</v>
      </c>
      <c r="BK337" s="3">
        <f t="shared" si="50"/>
        <v>-0.45609683602320777</v>
      </c>
      <c r="BL337" s="3">
        <f t="shared" si="51"/>
        <v>0.94333424358242735</v>
      </c>
      <c r="BM337" s="3">
        <f t="shared" si="52"/>
        <v>-0.58530204079546633</v>
      </c>
      <c r="BN337" s="3">
        <f t="shared" si="53"/>
        <v>44.146979592045341</v>
      </c>
      <c r="BO337" s="2" t="str">
        <f t="shared" si="54"/>
        <v>NC</v>
      </c>
    </row>
    <row r="338" spans="1:67" x14ac:dyDescent="0.35">
      <c r="A338" s="1">
        <v>337</v>
      </c>
      <c r="B338" s="10" t="s">
        <v>313</v>
      </c>
      <c r="C338" s="11">
        <v>19</v>
      </c>
      <c r="D338" s="11">
        <v>1</v>
      </c>
      <c r="E338" s="11">
        <v>0</v>
      </c>
      <c r="F338" s="11">
        <v>1</v>
      </c>
      <c r="G338" s="11">
        <v>1</v>
      </c>
      <c r="H338" s="11">
        <v>1</v>
      </c>
      <c r="I338" s="11">
        <v>1</v>
      </c>
      <c r="J338" s="11">
        <v>1</v>
      </c>
      <c r="K338" s="11">
        <v>1</v>
      </c>
      <c r="L338" s="11">
        <v>1</v>
      </c>
      <c r="M338" s="11">
        <v>0</v>
      </c>
      <c r="N338" s="11">
        <v>0</v>
      </c>
      <c r="O338" s="11">
        <v>0</v>
      </c>
      <c r="P338" s="11">
        <v>0</v>
      </c>
      <c r="Q338" s="11">
        <v>1</v>
      </c>
      <c r="R338" s="11">
        <v>0</v>
      </c>
      <c r="S338" s="11">
        <v>1</v>
      </c>
      <c r="T338" s="11">
        <v>1</v>
      </c>
      <c r="U338" s="11">
        <v>1</v>
      </c>
      <c r="V338" s="11">
        <v>1</v>
      </c>
      <c r="W338" s="11">
        <v>0</v>
      </c>
      <c r="X338" s="11">
        <v>0</v>
      </c>
      <c r="Y338" s="11">
        <v>0</v>
      </c>
      <c r="Z338" s="11">
        <v>0</v>
      </c>
      <c r="AA338" s="11">
        <v>1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1</v>
      </c>
      <c r="AI338" s="11">
        <v>1</v>
      </c>
      <c r="AJ338" s="11">
        <v>0</v>
      </c>
      <c r="AK338" s="11">
        <v>0</v>
      </c>
      <c r="AL338" s="11">
        <v>0</v>
      </c>
      <c r="AM338" s="11">
        <v>1</v>
      </c>
      <c r="AN338" s="11">
        <v>0</v>
      </c>
      <c r="AO338" s="11">
        <v>0</v>
      </c>
      <c r="AP338" s="11">
        <v>1</v>
      </c>
      <c r="AQ338" s="11">
        <v>0</v>
      </c>
      <c r="AR338" s="11">
        <v>0</v>
      </c>
      <c r="AS338" s="11">
        <v>0</v>
      </c>
      <c r="AT338" s="11">
        <v>1</v>
      </c>
      <c r="AU338" s="11">
        <v>0</v>
      </c>
      <c r="AV338" s="11">
        <v>0</v>
      </c>
      <c r="AW338" s="11">
        <v>0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5">
        <f t="shared" si="55"/>
        <v>57.306019862022545</v>
      </c>
      <c r="BH338" s="3">
        <f t="shared" si="56"/>
        <v>14.634726702711706</v>
      </c>
      <c r="BI338" s="3">
        <f t="shared" si="57"/>
        <v>40.365273297288297</v>
      </c>
      <c r="BJ338" s="3">
        <f t="shared" si="49"/>
        <v>-1.0145725977299707</v>
      </c>
      <c r="BK338" s="3">
        <f t="shared" si="50"/>
        <v>-0.45609683602320777</v>
      </c>
      <c r="BL338" s="3">
        <f t="shared" si="51"/>
        <v>0.94333424358242735</v>
      </c>
      <c r="BM338" s="3">
        <f t="shared" si="52"/>
        <v>-0.59202320440089473</v>
      </c>
      <c r="BN338" s="3">
        <f t="shared" si="53"/>
        <v>44.079767955991052</v>
      </c>
      <c r="BO338" s="2" t="str">
        <f t="shared" si="54"/>
        <v>NC</v>
      </c>
    </row>
    <row r="339" spans="1:67" x14ac:dyDescent="0.35">
      <c r="A339" s="15">
        <v>338</v>
      </c>
      <c r="B339" s="10" t="s">
        <v>314</v>
      </c>
      <c r="C339" s="11">
        <v>19</v>
      </c>
      <c r="D339" s="11">
        <v>0</v>
      </c>
      <c r="E339" s="11">
        <v>0</v>
      </c>
      <c r="F339" s="11">
        <v>1</v>
      </c>
      <c r="G339" s="11">
        <v>1</v>
      </c>
      <c r="H339" s="11">
        <v>1</v>
      </c>
      <c r="I339" s="11">
        <v>1</v>
      </c>
      <c r="J339" s="11">
        <v>1</v>
      </c>
      <c r="K339" s="11">
        <v>1</v>
      </c>
      <c r="L339" s="11">
        <v>0</v>
      </c>
      <c r="M339" s="11">
        <v>0</v>
      </c>
      <c r="N339" s="11">
        <v>1</v>
      </c>
      <c r="O339" s="11">
        <v>1</v>
      </c>
      <c r="P339" s="11">
        <v>1</v>
      </c>
      <c r="Q339" s="11">
        <v>1</v>
      </c>
      <c r="R339" s="11">
        <v>0</v>
      </c>
      <c r="S339" s="11">
        <v>1</v>
      </c>
      <c r="T339" s="11">
        <v>1</v>
      </c>
      <c r="U339" s="11">
        <v>0</v>
      </c>
      <c r="V339" s="11">
        <v>0</v>
      </c>
      <c r="W339" s="11">
        <v>0</v>
      </c>
      <c r="X339" s="11">
        <v>1</v>
      </c>
      <c r="Y339" s="11">
        <v>0</v>
      </c>
      <c r="Z339" s="11">
        <v>1</v>
      </c>
      <c r="AA339" s="11">
        <v>1</v>
      </c>
      <c r="AB339" s="11">
        <v>0</v>
      </c>
      <c r="AC339" s="11">
        <v>0</v>
      </c>
      <c r="AD339" s="11">
        <v>0</v>
      </c>
      <c r="AE339" s="11">
        <v>1</v>
      </c>
      <c r="AF339" s="11">
        <v>0</v>
      </c>
      <c r="AG339" s="11">
        <v>0</v>
      </c>
      <c r="AH339" s="11">
        <v>0</v>
      </c>
      <c r="AI339" s="11">
        <v>1</v>
      </c>
      <c r="AJ339" s="11">
        <v>1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1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5">
        <f t="shared" si="55"/>
        <v>57.128519816445134</v>
      </c>
      <c r="BH339" s="3">
        <f t="shared" si="56"/>
        <v>14.589397003266539</v>
      </c>
      <c r="BI339" s="3">
        <f t="shared" si="57"/>
        <v>40.410602996733459</v>
      </c>
      <c r="BJ339" s="3">
        <f t="shared" si="49"/>
        <v>-1.0187971687205775</v>
      </c>
      <c r="BK339" s="3">
        <f t="shared" si="50"/>
        <v>-0.45609683602320777</v>
      </c>
      <c r="BL339" s="3">
        <f t="shared" si="51"/>
        <v>0.94333424358242735</v>
      </c>
      <c r="BM339" s="3">
        <f t="shared" si="52"/>
        <v>-0.59650154388591492</v>
      </c>
      <c r="BN339" s="3">
        <f t="shared" si="53"/>
        <v>44.034984561140853</v>
      </c>
      <c r="BO339" s="2" t="str">
        <f t="shared" si="54"/>
        <v>NC</v>
      </c>
    </row>
    <row r="340" spans="1:67" x14ac:dyDescent="0.35">
      <c r="A340" s="15">
        <v>339</v>
      </c>
      <c r="B340" s="10" t="s">
        <v>315</v>
      </c>
      <c r="C340" s="11">
        <v>20</v>
      </c>
      <c r="D340" s="11">
        <v>0</v>
      </c>
      <c r="E340" s="11">
        <v>1</v>
      </c>
      <c r="F340" s="11">
        <v>0</v>
      </c>
      <c r="G340" s="11">
        <v>1</v>
      </c>
      <c r="H340" s="11">
        <v>1</v>
      </c>
      <c r="I340" s="11">
        <v>0</v>
      </c>
      <c r="J340" s="11">
        <v>1</v>
      </c>
      <c r="K340" s="11">
        <v>1</v>
      </c>
      <c r="L340" s="11">
        <v>1</v>
      </c>
      <c r="M340" s="11">
        <v>1</v>
      </c>
      <c r="N340" s="11">
        <v>1</v>
      </c>
      <c r="O340" s="11">
        <v>0</v>
      </c>
      <c r="P340" s="11">
        <v>0</v>
      </c>
      <c r="Q340" s="11">
        <v>1</v>
      </c>
      <c r="R340" s="11">
        <v>1</v>
      </c>
      <c r="S340" s="11">
        <v>1</v>
      </c>
      <c r="T340" s="11">
        <v>1</v>
      </c>
      <c r="U340" s="11">
        <v>0</v>
      </c>
      <c r="V340" s="11">
        <v>1</v>
      </c>
      <c r="W340" s="11">
        <v>1</v>
      </c>
      <c r="X340" s="11">
        <v>0</v>
      </c>
      <c r="Y340" s="11">
        <v>0</v>
      </c>
      <c r="Z340" s="11">
        <v>0</v>
      </c>
      <c r="AA340" s="11">
        <v>1</v>
      </c>
      <c r="AB340" s="11">
        <v>0</v>
      </c>
      <c r="AC340" s="11">
        <v>1</v>
      </c>
      <c r="AD340" s="11">
        <v>0</v>
      </c>
      <c r="AE340" s="11">
        <v>1</v>
      </c>
      <c r="AF340" s="11">
        <v>1</v>
      </c>
      <c r="AG340" s="11">
        <v>1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1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5">
        <f t="shared" si="55"/>
        <v>57.063360339355484</v>
      </c>
      <c r="BH340" s="3">
        <f t="shared" si="56"/>
        <v>14.57275667225778</v>
      </c>
      <c r="BI340" s="3">
        <f t="shared" si="57"/>
        <v>40.427243327742218</v>
      </c>
      <c r="BJ340" s="3">
        <f t="shared" si="49"/>
        <v>-1.0203500932476539</v>
      </c>
      <c r="BK340" s="3">
        <f t="shared" si="50"/>
        <v>-0.45609683602320777</v>
      </c>
      <c r="BL340" s="3">
        <f t="shared" si="51"/>
        <v>0.94333424358242735</v>
      </c>
      <c r="BM340" s="3">
        <f t="shared" si="52"/>
        <v>-0.59814775204345938</v>
      </c>
      <c r="BN340" s="3">
        <f t="shared" si="53"/>
        <v>44.018522479565405</v>
      </c>
      <c r="BO340" s="2" t="str">
        <f t="shared" si="54"/>
        <v>NC</v>
      </c>
    </row>
    <row r="341" spans="1:67" x14ac:dyDescent="0.35">
      <c r="A341" s="1">
        <v>340</v>
      </c>
      <c r="B341" s="10" t="s">
        <v>316</v>
      </c>
      <c r="C341" s="11">
        <v>20</v>
      </c>
      <c r="D341" s="11">
        <v>1</v>
      </c>
      <c r="E341" s="11">
        <v>1</v>
      </c>
      <c r="F341" s="11">
        <v>1</v>
      </c>
      <c r="G341" s="11">
        <v>1</v>
      </c>
      <c r="H341" s="11">
        <v>1</v>
      </c>
      <c r="I341" s="11">
        <v>0</v>
      </c>
      <c r="J341" s="11">
        <v>1</v>
      </c>
      <c r="K341" s="11">
        <v>1</v>
      </c>
      <c r="L341" s="11">
        <v>1</v>
      </c>
      <c r="M341" s="11">
        <v>1</v>
      </c>
      <c r="N341" s="11">
        <v>1</v>
      </c>
      <c r="O341" s="11">
        <v>0</v>
      </c>
      <c r="P341" s="11">
        <v>0</v>
      </c>
      <c r="Q341" s="11">
        <v>1</v>
      </c>
      <c r="R341" s="11">
        <v>1</v>
      </c>
      <c r="S341" s="11">
        <v>0</v>
      </c>
      <c r="T341" s="11">
        <v>0</v>
      </c>
      <c r="U341" s="11">
        <v>1</v>
      </c>
      <c r="V341" s="11">
        <v>1</v>
      </c>
      <c r="W341" s="11">
        <v>0</v>
      </c>
      <c r="X341" s="11">
        <v>1</v>
      </c>
      <c r="Y341" s="11">
        <v>0</v>
      </c>
      <c r="Z341" s="11">
        <v>0</v>
      </c>
      <c r="AA341" s="11">
        <v>0</v>
      </c>
      <c r="AB341" s="11">
        <v>0</v>
      </c>
      <c r="AC341" s="11">
        <v>1</v>
      </c>
      <c r="AD341" s="11">
        <v>0</v>
      </c>
      <c r="AE341" s="11">
        <v>1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1</v>
      </c>
      <c r="AN341" s="11">
        <v>0</v>
      </c>
      <c r="AO341" s="11">
        <v>0</v>
      </c>
      <c r="AP341" s="11">
        <v>0</v>
      </c>
      <c r="AQ341" s="11">
        <v>0</v>
      </c>
      <c r="AR341" s="11">
        <v>1</v>
      </c>
      <c r="AS341" s="11">
        <v>0</v>
      </c>
      <c r="AT341" s="11">
        <v>1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5">
        <f t="shared" si="55"/>
        <v>56.90925572654956</v>
      </c>
      <c r="BH341" s="3">
        <f t="shared" si="56"/>
        <v>14.533401663875203</v>
      </c>
      <c r="BI341" s="3">
        <f t="shared" si="57"/>
        <v>40.466598336124797</v>
      </c>
      <c r="BJ341" s="3">
        <f t="shared" si="49"/>
        <v>-1.0240273380736094</v>
      </c>
      <c r="BK341" s="3">
        <f t="shared" si="50"/>
        <v>-0.45609683602320777</v>
      </c>
      <c r="BL341" s="3">
        <f t="shared" si="51"/>
        <v>0.94333424358242735</v>
      </c>
      <c r="BM341" s="3">
        <f t="shared" si="52"/>
        <v>-0.60204588767350997</v>
      </c>
      <c r="BN341" s="3">
        <f t="shared" si="53"/>
        <v>43.979541123264902</v>
      </c>
      <c r="BO341" s="2" t="str">
        <f t="shared" si="54"/>
        <v>NC</v>
      </c>
    </row>
    <row r="342" spans="1:67" x14ac:dyDescent="0.35">
      <c r="A342" s="15">
        <v>341</v>
      </c>
      <c r="B342" s="10" t="s">
        <v>317</v>
      </c>
      <c r="C342" s="11">
        <v>19</v>
      </c>
      <c r="D342" s="11">
        <v>1</v>
      </c>
      <c r="E342" s="11">
        <v>1</v>
      </c>
      <c r="F342" s="11">
        <v>1</v>
      </c>
      <c r="G342" s="11">
        <v>0</v>
      </c>
      <c r="H342" s="11">
        <v>1</v>
      </c>
      <c r="I342" s="11">
        <v>0</v>
      </c>
      <c r="J342" s="11">
        <v>1</v>
      </c>
      <c r="K342" s="11">
        <v>1</v>
      </c>
      <c r="L342" s="11">
        <v>0</v>
      </c>
      <c r="M342" s="11">
        <v>1</v>
      </c>
      <c r="N342" s="11">
        <v>0</v>
      </c>
      <c r="O342" s="11">
        <v>1</v>
      </c>
      <c r="P342" s="11">
        <v>1</v>
      </c>
      <c r="Q342" s="11">
        <v>1</v>
      </c>
      <c r="R342" s="11">
        <v>0</v>
      </c>
      <c r="S342" s="11">
        <v>1</v>
      </c>
      <c r="T342" s="11">
        <v>0</v>
      </c>
      <c r="U342" s="11">
        <v>1</v>
      </c>
      <c r="V342" s="11">
        <v>0</v>
      </c>
      <c r="W342" s="11">
        <v>0</v>
      </c>
      <c r="X342" s="11">
        <v>0</v>
      </c>
      <c r="Y342" s="11">
        <v>1</v>
      </c>
      <c r="Z342" s="11">
        <v>0</v>
      </c>
      <c r="AA342" s="11">
        <v>1</v>
      </c>
      <c r="AB342" s="11">
        <v>1</v>
      </c>
      <c r="AC342" s="11">
        <v>1</v>
      </c>
      <c r="AD342" s="11">
        <v>0</v>
      </c>
      <c r="AE342" s="11">
        <v>0</v>
      </c>
      <c r="AF342" s="11">
        <v>0</v>
      </c>
      <c r="AG342" s="11">
        <v>1</v>
      </c>
      <c r="AH342" s="11">
        <v>0</v>
      </c>
      <c r="AI342" s="11">
        <v>1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1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5">
        <f t="shared" si="55"/>
        <v>56.447901944021076</v>
      </c>
      <c r="BH342" s="3">
        <f t="shared" si="56"/>
        <v>14.415581816382337</v>
      </c>
      <c r="BI342" s="3">
        <f t="shared" si="57"/>
        <v>40.584418183617665</v>
      </c>
      <c r="BJ342" s="3">
        <f t="shared" si="49"/>
        <v>-1.0350745122134846</v>
      </c>
      <c r="BK342" s="3">
        <f t="shared" si="50"/>
        <v>-0.45609683602320777</v>
      </c>
      <c r="BL342" s="3">
        <f t="shared" si="51"/>
        <v>0.94333424358242735</v>
      </c>
      <c r="BM342" s="3">
        <f t="shared" si="52"/>
        <v>-0.61375666168074006</v>
      </c>
      <c r="BN342" s="3">
        <f t="shared" si="53"/>
        <v>43.862433383192602</v>
      </c>
      <c r="BO342" s="2" t="str">
        <f t="shared" si="54"/>
        <v>NC</v>
      </c>
    </row>
    <row r="343" spans="1:67" x14ac:dyDescent="0.35">
      <c r="A343" s="15">
        <v>342</v>
      </c>
      <c r="B343" s="10" t="s">
        <v>318</v>
      </c>
      <c r="C343" s="11">
        <v>20</v>
      </c>
      <c r="D343" s="11">
        <v>1</v>
      </c>
      <c r="E343" s="11">
        <v>1</v>
      </c>
      <c r="F343" s="11">
        <v>1</v>
      </c>
      <c r="G343" s="11">
        <v>1</v>
      </c>
      <c r="H343" s="11">
        <v>1</v>
      </c>
      <c r="I343" s="11">
        <v>0</v>
      </c>
      <c r="J343" s="11">
        <v>1</v>
      </c>
      <c r="K343" s="11">
        <v>1</v>
      </c>
      <c r="L343" s="11">
        <v>1</v>
      </c>
      <c r="M343" s="11">
        <v>1</v>
      </c>
      <c r="N343" s="11">
        <v>0</v>
      </c>
      <c r="O343" s="11">
        <v>1</v>
      </c>
      <c r="P343" s="11">
        <v>1</v>
      </c>
      <c r="Q343" s="11">
        <v>1</v>
      </c>
      <c r="R343" s="11">
        <v>0</v>
      </c>
      <c r="S343" s="11">
        <v>0</v>
      </c>
      <c r="T343" s="11">
        <v>0</v>
      </c>
      <c r="U343" s="11">
        <v>1</v>
      </c>
      <c r="V343" s="11">
        <v>1</v>
      </c>
      <c r="W343" s="11">
        <v>1</v>
      </c>
      <c r="X343" s="11">
        <v>0</v>
      </c>
      <c r="Y343" s="11">
        <v>0</v>
      </c>
      <c r="Z343" s="11">
        <v>1</v>
      </c>
      <c r="AA343" s="11">
        <v>0</v>
      </c>
      <c r="AB343" s="11">
        <v>0</v>
      </c>
      <c r="AC343" s="11">
        <v>1</v>
      </c>
      <c r="AD343" s="11">
        <v>1</v>
      </c>
      <c r="AE343" s="11">
        <v>0</v>
      </c>
      <c r="AF343" s="11">
        <v>0</v>
      </c>
      <c r="AG343" s="11">
        <v>1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1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5">
        <f t="shared" si="55"/>
        <v>56.41200110722194</v>
      </c>
      <c r="BH343" s="3">
        <f t="shared" si="56"/>
        <v>14.406413513711536</v>
      </c>
      <c r="BI343" s="3">
        <f t="shared" si="57"/>
        <v>40.593586486288466</v>
      </c>
      <c r="BJ343" s="3">
        <f t="shared" si="49"/>
        <v>-1.0359365954862931</v>
      </c>
      <c r="BK343" s="3">
        <f t="shared" si="50"/>
        <v>-0.45609683602320777</v>
      </c>
      <c r="BL343" s="3">
        <f t="shared" si="51"/>
        <v>0.94333424358242735</v>
      </c>
      <c r="BM343" s="3">
        <f t="shared" si="52"/>
        <v>-0.61467052999271266</v>
      </c>
      <c r="BN343" s="3">
        <f t="shared" si="53"/>
        <v>43.853294700072873</v>
      </c>
      <c r="BO343" s="2" t="str">
        <f t="shared" si="54"/>
        <v>NC</v>
      </c>
    </row>
    <row r="344" spans="1:67" x14ac:dyDescent="0.35">
      <c r="A344" s="1">
        <v>343</v>
      </c>
      <c r="B344" s="10" t="s">
        <v>319</v>
      </c>
      <c r="C344" s="11">
        <v>19</v>
      </c>
      <c r="D344" s="11">
        <v>1</v>
      </c>
      <c r="E344" s="11">
        <v>0</v>
      </c>
      <c r="F344" s="11">
        <v>1</v>
      </c>
      <c r="G344" s="11">
        <v>0</v>
      </c>
      <c r="H344" s="11">
        <v>1</v>
      </c>
      <c r="I344" s="11">
        <v>1</v>
      </c>
      <c r="J344" s="11">
        <v>1</v>
      </c>
      <c r="K344" s="11">
        <v>1</v>
      </c>
      <c r="L344" s="11">
        <v>1</v>
      </c>
      <c r="M344" s="11">
        <v>0</v>
      </c>
      <c r="N344" s="11">
        <v>1</v>
      </c>
      <c r="O344" s="11">
        <v>1</v>
      </c>
      <c r="P344" s="11">
        <v>1</v>
      </c>
      <c r="Q344" s="11">
        <v>1</v>
      </c>
      <c r="R344" s="11">
        <v>1</v>
      </c>
      <c r="S344" s="11">
        <v>1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1</v>
      </c>
      <c r="Z344" s="11">
        <v>0</v>
      </c>
      <c r="AA344" s="11">
        <v>0</v>
      </c>
      <c r="AB344" s="11">
        <v>0</v>
      </c>
      <c r="AC344" s="11">
        <v>1</v>
      </c>
      <c r="AD344" s="11">
        <v>0</v>
      </c>
      <c r="AE344" s="11">
        <v>1</v>
      </c>
      <c r="AF344" s="11">
        <v>0</v>
      </c>
      <c r="AG344" s="11">
        <v>1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1</v>
      </c>
      <c r="BB344" s="11">
        <v>1</v>
      </c>
      <c r="BC344" s="11">
        <v>0</v>
      </c>
      <c r="BD344" s="11">
        <v>0</v>
      </c>
      <c r="BE344" s="11">
        <v>0</v>
      </c>
      <c r="BF344" s="11">
        <v>0</v>
      </c>
      <c r="BG344" s="5">
        <f t="shared" si="55"/>
        <v>56.116474128384041</v>
      </c>
      <c r="BH344" s="3">
        <f t="shared" si="56"/>
        <v>14.330942270393923</v>
      </c>
      <c r="BI344" s="3">
        <f t="shared" si="57"/>
        <v>40.669057729606081</v>
      </c>
      <c r="BJ344" s="3">
        <f t="shared" si="49"/>
        <v>-1.0430465562012354</v>
      </c>
      <c r="BK344" s="3">
        <f t="shared" si="50"/>
        <v>-0.45609683602320777</v>
      </c>
      <c r="BL344" s="3">
        <f t="shared" si="51"/>
        <v>0.94333424358242735</v>
      </c>
      <c r="BM344" s="3">
        <f t="shared" si="52"/>
        <v>-0.62220758354855654</v>
      </c>
      <c r="BN344" s="3">
        <f t="shared" si="53"/>
        <v>43.777924164514431</v>
      </c>
      <c r="BO344" s="2" t="str">
        <f t="shared" si="54"/>
        <v>NC</v>
      </c>
    </row>
    <row r="345" spans="1:67" x14ac:dyDescent="0.35">
      <c r="A345" s="15">
        <v>344</v>
      </c>
      <c r="B345" s="10" t="s">
        <v>320</v>
      </c>
      <c r="C345" s="11">
        <v>20</v>
      </c>
      <c r="D345" s="11">
        <v>1</v>
      </c>
      <c r="E345" s="11">
        <v>1</v>
      </c>
      <c r="F345" s="11">
        <v>1</v>
      </c>
      <c r="G345" s="11">
        <v>1</v>
      </c>
      <c r="H345" s="11">
        <v>1</v>
      </c>
      <c r="I345" s="11">
        <v>0</v>
      </c>
      <c r="J345" s="11">
        <v>1</v>
      </c>
      <c r="K345" s="11">
        <v>1</v>
      </c>
      <c r="L345" s="11">
        <v>1</v>
      </c>
      <c r="M345" s="11">
        <v>1</v>
      </c>
      <c r="N345" s="11">
        <v>1</v>
      </c>
      <c r="O345" s="11">
        <v>1</v>
      </c>
      <c r="P345" s="11">
        <v>0</v>
      </c>
      <c r="Q345" s="11">
        <v>1</v>
      </c>
      <c r="R345" s="11">
        <v>1</v>
      </c>
      <c r="S345" s="11">
        <v>1</v>
      </c>
      <c r="T345" s="11">
        <v>1</v>
      </c>
      <c r="U345" s="11">
        <v>1</v>
      </c>
      <c r="V345" s="11">
        <v>0</v>
      </c>
      <c r="W345" s="11">
        <v>1</v>
      </c>
      <c r="X345" s="11">
        <v>0</v>
      </c>
      <c r="Y345" s="11">
        <v>0</v>
      </c>
      <c r="Z345" s="11">
        <v>1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1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1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5">
        <f t="shared" si="55"/>
        <v>56.017035694725571</v>
      </c>
      <c r="BH345" s="3">
        <f t="shared" si="56"/>
        <v>14.305547830091816</v>
      </c>
      <c r="BI345" s="3">
        <f t="shared" si="57"/>
        <v>40.694452169908182</v>
      </c>
      <c r="BJ345" s="3">
        <f t="shared" si="49"/>
        <v>-1.0454443506607232</v>
      </c>
      <c r="BK345" s="3">
        <f t="shared" si="50"/>
        <v>-0.45609683602320777</v>
      </c>
      <c r="BL345" s="3">
        <f t="shared" si="51"/>
        <v>0.94333424358242735</v>
      </c>
      <c r="BM345" s="3">
        <f t="shared" si="52"/>
        <v>-0.62474941267836936</v>
      </c>
      <c r="BN345" s="3">
        <f t="shared" si="53"/>
        <v>43.752505873216307</v>
      </c>
      <c r="BO345" s="2" t="str">
        <f t="shared" si="54"/>
        <v>NC</v>
      </c>
    </row>
    <row r="346" spans="1:67" x14ac:dyDescent="0.35">
      <c r="A346" s="15">
        <v>345</v>
      </c>
      <c r="B346" s="10" t="s">
        <v>321</v>
      </c>
      <c r="C346" s="11">
        <v>19</v>
      </c>
      <c r="D346" s="11">
        <v>1</v>
      </c>
      <c r="E346" s="11">
        <v>1</v>
      </c>
      <c r="F346" s="11">
        <v>0</v>
      </c>
      <c r="G346" s="11">
        <v>1</v>
      </c>
      <c r="H346" s="11">
        <v>1</v>
      </c>
      <c r="I346" s="11">
        <v>1</v>
      </c>
      <c r="J346" s="11">
        <v>1</v>
      </c>
      <c r="K346" s="11">
        <v>0</v>
      </c>
      <c r="L346" s="11">
        <v>1</v>
      </c>
      <c r="M346" s="11">
        <v>1</v>
      </c>
      <c r="N346" s="11">
        <v>1</v>
      </c>
      <c r="O346" s="11">
        <v>0</v>
      </c>
      <c r="P346" s="11">
        <v>0</v>
      </c>
      <c r="Q346" s="11">
        <v>0</v>
      </c>
      <c r="R346" s="11">
        <v>1</v>
      </c>
      <c r="S346" s="11">
        <v>0</v>
      </c>
      <c r="T346" s="11">
        <v>1</v>
      </c>
      <c r="U346" s="11">
        <v>1</v>
      </c>
      <c r="V346" s="11">
        <v>1</v>
      </c>
      <c r="W346" s="11">
        <v>0</v>
      </c>
      <c r="X346" s="11">
        <v>1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1</v>
      </c>
      <c r="AF346" s="11">
        <v>1</v>
      </c>
      <c r="AG346" s="11">
        <v>1</v>
      </c>
      <c r="AH346" s="11">
        <v>0</v>
      </c>
      <c r="AI346" s="11">
        <v>1</v>
      </c>
      <c r="AJ346" s="11">
        <v>1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5">
        <f t="shared" si="55"/>
        <v>56.010647768281785</v>
      </c>
      <c r="BH346" s="3">
        <f t="shared" si="56"/>
        <v>14.303916490872536</v>
      </c>
      <c r="BI346" s="3">
        <f t="shared" si="57"/>
        <v>40.696083509127462</v>
      </c>
      <c r="BJ346" s="3">
        <f t="shared" si="49"/>
        <v>-1.0455984792932989</v>
      </c>
      <c r="BK346" s="3">
        <f t="shared" si="50"/>
        <v>-0.45609683602320777</v>
      </c>
      <c r="BL346" s="3">
        <f t="shared" si="51"/>
        <v>0.94333424358242735</v>
      </c>
      <c r="BM346" s="3">
        <f t="shared" si="52"/>
        <v>-0.62491279976372571</v>
      </c>
      <c r="BN346" s="3">
        <f t="shared" si="53"/>
        <v>43.75087200236274</v>
      </c>
      <c r="BO346" s="2" t="str">
        <f t="shared" si="54"/>
        <v>NC</v>
      </c>
    </row>
    <row r="347" spans="1:67" x14ac:dyDescent="0.35">
      <c r="A347" s="1">
        <v>346</v>
      </c>
      <c r="B347" s="10" t="s">
        <v>322</v>
      </c>
      <c r="C347" s="11">
        <v>19</v>
      </c>
      <c r="D347" s="11">
        <v>1</v>
      </c>
      <c r="E347" s="11">
        <v>1</v>
      </c>
      <c r="F347" s="11">
        <v>1</v>
      </c>
      <c r="G347" s="11">
        <v>0</v>
      </c>
      <c r="H347" s="11">
        <v>1</v>
      </c>
      <c r="I347" s="11">
        <v>1</v>
      </c>
      <c r="J347" s="11">
        <v>1</v>
      </c>
      <c r="K347" s="11">
        <v>1</v>
      </c>
      <c r="L347" s="11">
        <v>0</v>
      </c>
      <c r="M347" s="11">
        <v>1</v>
      </c>
      <c r="N347" s="11">
        <v>0</v>
      </c>
      <c r="O347" s="11">
        <v>1</v>
      </c>
      <c r="P347" s="11">
        <v>1</v>
      </c>
      <c r="Q347" s="11">
        <v>1</v>
      </c>
      <c r="R347" s="11">
        <v>0</v>
      </c>
      <c r="S347" s="11">
        <v>0</v>
      </c>
      <c r="T347" s="11">
        <v>1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1</v>
      </c>
      <c r="AD347" s="11">
        <v>1</v>
      </c>
      <c r="AE347" s="11">
        <v>0</v>
      </c>
      <c r="AF347" s="11">
        <v>0</v>
      </c>
      <c r="AG347" s="11">
        <v>1</v>
      </c>
      <c r="AH347" s="11">
        <v>0</v>
      </c>
      <c r="AI347" s="11">
        <v>1</v>
      </c>
      <c r="AJ347" s="11">
        <v>1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1</v>
      </c>
      <c r="BB347" s="11">
        <v>1</v>
      </c>
      <c r="BC347" s="11">
        <v>0</v>
      </c>
      <c r="BD347" s="11">
        <v>0</v>
      </c>
      <c r="BE347" s="11">
        <v>0</v>
      </c>
      <c r="BF347" s="11">
        <v>0</v>
      </c>
      <c r="BG347" s="5">
        <f t="shared" si="55"/>
        <v>55.941655351535303</v>
      </c>
      <c r="BH347" s="3">
        <f t="shared" si="56"/>
        <v>14.286297309396044</v>
      </c>
      <c r="BI347" s="3">
        <f t="shared" si="57"/>
        <v>40.713702690603952</v>
      </c>
      <c r="BJ347" s="3">
        <f t="shared" si="49"/>
        <v>-1.0472638634731757</v>
      </c>
      <c r="BK347" s="3">
        <f t="shared" si="50"/>
        <v>-0.45609683602320777</v>
      </c>
      <c r="BL347" s="3">
        <f t="shared" si="51"/>
        <v>0.94333424358242735</v>
      </c>
      <c r="BM347" s="3">
        <f t="shared" si="52"/>
        <v>-0.62667822298588316</v>
      </c>
      <c r="BN347" s="3">
        <f t="shared" si="53"/>
        <v>43.733217770141167</v>
      </c>
      <c r="BO347" s="2" t="str">
        <f t="shared" si="54"/>
        <v>NC</v>
      </c>
    </row>
    <row r="348" spans="1:67" x14ac:dyDescent="0.35">
      <c r="A348" s="15">
        <v>347</v>
      </c>
      <c r="B348" s="12">
        <v>1232542</v>
      </c>
      <c r="C348" s="11">
        <v>20</v>
      </c>
      <c r="D348" s="11">
        <v>1</v>
      </c>
      <c r="E348" s="11">
        <v>1</v>
      </c>
      <c r="F348" s="11">
        <v>1</v>
      </c>
      <c r="G348" s="11">
        <v>1</v>
      </c>
      <c r="H348" s="11">
        <v>1</v>
      </c>
      <c r="I348" s="11">
        <v>1</v>
      </c>
      <c r="J348" s="11">
        <v>1</v>
      </c>
      <c r="K348" s="11">
        <v>1</v>
      </c>
      <c r="L348" s="11">
        <v>1</v>
      </c>
      <c r="M348" s="11">
        <v>1</v>
      </c>
      <c r="N348" s="11">
        <v>1</v>
      </c>
      <c r="O348" s="11">
        <v>0</v>
      </c>
      <c r="P348" s="11">
        <v>0</v>
      </c>
      <c r="Q348" s="11">
        <v>1</v>
      </c>
      <c r="R348" s="11">
        <v>1</v>
      </c>
      <c r="S348" s="11">
        <v>0</v>
      </c>
      <c r="T348" s="11">
        <v>1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1</v>
      </c>
      <c r="AD348" s="11">
        <v>1</v>
      </c>
      <c r="AE348" s="11">
        <v>1</v>
      </c>
      <c r="AF348" s="11">
        <v>0</v>
      </c>
      <c r="AG348" s="11">
        <v>0</v>
      </c>
      <c r="AH348" s="11">
        <v>1</v>
      </c>
      <c r="AI348" s="11">
        <v>0</v>
      </c>
      <c r="AJ348" s="11">
        <v>0</v>
      </c>
      <c r="AK348" s="11">
        <v>0</v>
      </c>
      <c r="AL348" s="11">
        <v>0</v>
      </c>
      <c r="AM348" s="11">
        <v>1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1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5">
        <f t="shared" si="55"/>
        <v>55.658446857895079</v>
      </c>
      <c r="BH348" s="3">
        <f t="shared" si="56"/>
        <v>14.213971942631948</v>
      </c>
      <c r="BI348" s="3">
        <f t="shared" si="57"/>
        <v>40.78602805736805</v>
      </c>
      <c r="BJ348" s="3">
        <f t="shared" si="49"/>
        <v>-1.0541141527086693</v>
      </c>
      <c r="BK348" s="3">
        <f t="shared" si="50"/>
        <v>-0.45609683602320777</v>
      </c>
      <c r="BL348" s="3">
        <f t="shared" si="51"/>
        <v>0.94333424358242735</v>
      </c>
      <c r="BM348" s="3">
        <f t="shared" si="52"/>
        <v>-0.63394000668778594</v>
      </c>
      <c r="BN348" s="3">
        <f t="shared" si="53"/>
        <v>43.660599933122143</v>
      </c>
      <c r="BO348" s="2" t="str">
        <f t="shared" si="54"/>
        <v>NC</v>
      </c>
    </row>
    <row r="349" spans="1:67" x14ac:dyDescent="0.35">
      <c r="A349" s="15">
        <v>348</v>
      </c>
      <c r="B349" s="10" t="s">
        <v>323</v>
      </c>
      <c r="C349" s="11">
        <v>17</v>
      </c>
      <c r="D349" s="11">
        <v>0</v>
      </c>
      <c r="E349" s="11">
        <v>0</v>
      </c>
      <c r="F349" s="11">
        <v>0</v>
      </c>
      <c r="G349" s="11">
        <v>0</v>
      </c>
      <c r="H349" s="11">
        <v>1</v>
      </c>
      <c r="I349" s="11">
        <v>1</v>
      </c>
      <c r="J349" s="11">
        <v>1</v>
      </c>
      <c r="K349" s="11">
        <v>1</v>
      </c>
      <c r="L349" s="11">
        <v>0</v>
      </c>
      <c r="M349" s="11">
        <v>1</v>
      </c>
      <c r="N349" s="11">
        <v>1</v>
      </c>
      <c r="O349" s="11">
        <v>0</v>
      </c>
      <c r="P349" s="11">
        <v>1</v>
      </c>
      <c r="Q349" s="11">
        <v>1</v>
      </c>
      <c r="R349" s="11">
        <v>1</v>
      </c>
      <c r="S349" s="11">
        <v>0</v>
      </c>
      <c r="T349" s="11">
        <v>0</v>
      </c>
      <c r="U349" s="11">
        <v>0</v>
      </c>
      <c r="V349" s="11">
        <v>0</v>
      </c>
      <c r="W349" s="11">
        <v>1</v>
      </c>
      <c r="X349" s="11">
        <v>0</v>
      </c>
      <c r="Y349" s="11">
        <v>0</v>
      </c>
      <c r="Z349" s="11">
        <v>1</v>
      </c>
      <c r="AA349" s="11">
        <v>0</v>
      </c>
      <c r="AB349" s="11">
        <v>0</v>
      </c>
      <c r="AC349" s="11">
        <v>0</v>
      </c>
      <c r="AD349" s="11">
        <v>0</v>
      </c>
      <c r="AE349" s="11">
        <v>1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1</v>
      </c>
      <c r="AL349" s="11">
        <v>1</v>
      </c>
      <c r="AM349" s="11">
        <v>0</v>
      </c>
      <c r="AN349" s="11">
        <v>0</v>
      </c>
      <c r="AO349" s="11">
        <v>0</v>
      </c>
      <c r="AP349" s="11">
        <v>1</v>
      </c>
      <c r="AQ349" s="11">
        <v>0</v>
      </c>
      <c r="AR349" s="11">
        <v>1</v>
      </c>
      <c r="AS349" s="11">
        <v>0</v>
      </c>
      <c r="AT349" s="11">
        <v>1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5">
        <f t="shared" si="55"/>
        <v>55.401611160993426</v>
      </c>
      <c r="BH349" s="3">
        <f t="shared" si="56"/>
        <v>14.148381621742342</v>
      </c>
      <c r="BI349" s="3">
        <f t="shared" si="57"/>
        <v>40.851618378257655</v>
      </c>
      <c r="BJ349" s="3">
        <f t="shared" si="49"/>
        <v>-1.0603461935776517</v>
      </c>
      <c r="BK349" s="3">
        <f t="shared" si="50"/>
        <v>-0.45609683602320777</v>
      </c>
      <c r="BL349" s="3">
        <f t="shared" si="51"/>
        <v>0.94333424358242735</v>
      </c>
      <c r="BM349" s="3">
        <f t="shared" si="52"/>
        <v>-0.64054640406112362</v>
      </c>
      <c r="BN349" s="3">
        <f t="shared" si="53"/>
        <v>43.594535959388764</v>
      </c>
      <c r="BO349" s="2" t="str">
        <f t="shared" si="54"/>
        <v>NC</v>
      </c>
    </row>
    <row r="350" spans="1:67" x14ac:dyDescent="0.35">
      <c r="A350" s="1">
        <v>349</v>
      </c>
      <c r="B350" s="10" t="s">
        <v>324</v>
      </c>
      <c r="C350" s="11">
        <v>19</v>
      </c>
      <c r="D350" s="11">
        <v>1</v>
      </c>
      <c r="E350" s="11">
        <v>1</v>
      </c>
      <c r="F350" s="11">
        <v>1</v>
      </c>
      <c r="G350" s="11">
        <v>1</v>
      </c>
      <c r="H350" s="11">
        <v>1</v>
      </c>
      <c r="I350" s="11">
        <v>0</v>
      </c>
      <c r="J350" s="11">
        <v>1</v>
      </c>
      <c r="K350" s="11">
        <v>1</v>
      </c>
      <c r="L350" s="11">
        <v>0</v>
      </c>
      <c r="M350" s="11">
        <v>1</v>
      </c>
      <c r="N350" s="11">
        <v>0</v>
      </c>
      <c r="O350" s="11">
        <v>1</v>
      </c>
      <c r="P350" s="11">
        <v>0</v>
      </c>
      <c r="Q350" s="11">
        <v>1</v>
      </c>
      <c r="R350" s="11">
        <v>1</v>
      </c>
      <c r="S350" s="11">
        <v>1</v>
      </c>
      <c r="T350" s="11">
        <v>0</v>
      </c>
      <c r="U350" s="11">
        <v>1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1</v>
      </c>
      <c r="AD350" s="11">
        <v>0</v>
      </c>
      <c r="AE350" s="11">
        <v>1</v>
      </c>
      <c r="AF350" s="11">
        <v>0</v>
      </c>
      <c r="AG350" s="11">
        <v>0</v>
      </c>
      <c r="AH350" s="11">
        <v>0</v>
      </c>
      <c r="AI350" s="11">
        <v>1</v>
      </c>
      <c r="AJ350" s="11">
        <v>0</v>
      </c>
      <c r="AK350" s="11">
        <v>0</v>
      </c>
      <c r="AL350" s="11">
        <v>0</v>
      </c>
      <c r="AM350" s="11">
        <v>1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1</v>
      </c>
      <c r="AT350" s="11">
        <v>0</v>
      </c>
      <c r="AU350" s="11">
        <v>0</v>
      </c>
      <c r="AV350" s="11">
        <v>0</v>
      </c>
      <c r="AW350" s="11">
        <v>1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5">
        <f t="shared" si="55"/>
        <v>55.250432194157696</v>
      </c>
      <c r="BH350" s="3">
        <f t="shared" si="56"/>
        <v>14.109773760506014</v>
      </c>
      <c r="BI350" s="3">
        <f t="shared" si="57"/>
        <v>40.890226239493984</v>
      </c>
      <c r="BJ350" s="3">
        <f t="shared" si="49"/>
        <v>-1.064023335488385</v>
      </c>
      <c r="BK350" s="3">
        <f t="shared" si="50"/>
        <v>-0.45609683602320777</v>
      </c>
      <c r="BL350" s="3">
        <f t="shared" si="51"/>
        <v>0.94333424358242735</v>
      </c>
      <c r="BM350" s="3">
        <f t="shared" si="52"/>
        <v>-0.6444444305938708</v>
      </c>
      <c r="BN350" s="3">
        <f t="shared" si="53"/>
        <v>43.55555569406129</v>
      </c>
      <c r="BO350" s="2" t="str">
        <f t="shared" si="54"/>
        <v>NC</v>
      </c>
    </row>
    <row r="351" spans="1:67" x14ac:dyDescent="0.35">
      <c r="A351" s="15">
        <v>350</v>
      </c>
      <c r="B351" s="10" t="s">
        <v>325</v>
      </c>
      <c r="C351" s="11">
        <v>20</v>
      </c>
      <c r="D351" s="11">
        <v>0</v>
      </c>
      <c r="E351" s="11">
        <v>1</v>
      </c>
      <c r="F351" s="11">
        <v>1</v>
      </c>
      <c r="G351" s="11">
        <v>1</v>
      </c>
      <c r="H351" s="11">
        <v>1</v>
      </c>
      <c r="I351" s="11">
        <v>1</v>
      </c>
      <c r="J351" s="11">
        <v>0</v>
      </c>
      <c r="K351" s="11">
        <v>1</v>
      </c>
      <c r="L351" s="11">
        <v>0</v>
      </c>
      <c r="M351" s="11">
        <v>1</v>
      </c>
      <c r="N351" s="11">
        <v>1</v>
      </c>
      <c r="O351" s="11">
        <v>1</v>
      </c>
      <c r="P351" s="11">
        <v>0</v>
      </c>
      <c r="Q351" s="11">
        <v>1</v>
      </c>
      <c r="R351" s="11">
        <v>1</v>
      </c>
      <c r="S351" s="11">
        <v>1</v>
      </c>
      <c r="T351" s="11">
        <v>1</v>
      </c>
      <c r="U351" s="11">
        <v>1</v>
      </c>
      <c r="V351" s="11">
        <v>1</v>
      </c>
      <c r="W351" s="11">
        <v>1</v>
      </c>
      <c r="X351" s="11">
        <v>1</v>
      </c>
      <c r="Y351" s="11">
        <v>1</v>
      </c>
      <c r="Z351" s="11">
        <v>0</v>
      </c>
      <c r="AA351" s="11">
        <v>0</v>
      </c>
      <c r="AB351" s="11">
        <v>0</v>
      </c>
      <c r="AC351" s="11">
        <v>1</v>
      </c>
      <c r="AD351" s="11">
        <v>0</v>
      </c>
      <c r="AE351" s="11">
        <v>0</v>
      </c>
      <c r="AF351" s="11">
        <v>1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5">
        <f t="shared" si="55"/>
        <v>55.24890335289578</v>
      </c>
      <c r="BH351" s="3">
        <f t="shared" si="56"/>
        <v>14.109383327282876</v>
      </c>
      <c r="BI351" s="3">
        <f t="shared" si="57"/>
        <v>40.890616672717123</v>
      </c>
      <c r="BJ351" s="3">
        <f t="shared" si="49"/>
        <v>-1.0640605552705646</v>
      </c>
      <c r="BK351" s="3">
        <f t="shared" si="50"/>
        <v>-0.45609683602320777</v>
      </c>
      <c r="BL351" s="3">
        <f t="shared" si="51"/>
        <v>0.94333424358242735</v>
      </c>
      <c r="BM351" s="3">
        <f t="shared" si="52"/>
        <v>-0.64448388615528274</v>
      </c>
      <c r="BN351" s="3">
        <f t="shared" si="53"/>
        <v>43.555161138447176</v>
      </c>
      <c r="BO351" s="2" t="str">
        <f t="shared" si="54"/>
        <v>NC</v>
      </c>
    </row>
    <row r="352" spans="1:67" x14ac:dyDescent="0.35">
      <c r="A352" s="15">
        <v>351</v>
      </c>
      <c r="B352" s="10" t="s">
        <v>326</v>
      </c>
      <c r="C352" s="11">
        <v>19</v>
      </c>
      <c r="D352" s="11">
        <v>1</v>
      </c>
      <c r="E352" s="11">
        <v>0</v>
      </c>
      <c r="F352" s="11">
        <v>1</v>
      </c>
      <c r="G352" s="11">
        <v>1</v>
      </c>
      <c r="H352" s="11">
        <v>1</v>
      </c>
      <c r="I352" s="11">
        <v>1</v>
      </c>
      <c r="J352" s="11">
        <v>1</v>
      </c>
      <c r="K352" s="11">
        <v>0</v>
      </c>
      <c r="L352" s="11">
        <v>0</v>
      </c>
      <c r="M352" s="11">
        <v>1</v>
      </c>
      <c r="N352" s="11">
        <v>1</v>
      </c>
      <c r="O352" s="11">
        <v>0</v>
      </c>
      <c r="P352" s="11">
        <v>1</v>
      </c>
      <c r="Q352" s="11">
        <v>1</v>
      </c>
      <c r="R352" s="11">
        <v>1</v>
      </c>
      <c r="S352" s="11">
        <v>0</v>
      </c>
      <c r="T352" s="11">
        <v>1</v>
      </c>
      <c r="U352" s="11">
        <v>0</v>
      </c>
      <c r="V352" s="11">
        <v>0</v>
      </c>
      <c r="W352" s="11">
        <v>0</v>
      </c>
      <c r="X352" s="11">
        <v>0</v>
      </c>
      <c r="Y352" s="11">
        <v>1</v>
      </c>
      <c r="Z352" s="11">
        <v>1</v>
      </c>
      <c r="AA352" s="11">
        <v>1</v>
      </c>
      <c r="AB352" s="11">
        <v>0</v>
      </c>
      <c r="AC352" s="11">
        <v>1</v>
      </c>
      <c r="AD352" s="11">
        <v>0</v>
      </c>
      <c r="AE352" s="11">
        <v>0</v>
      </c>
      <c r="AF352" s="11">
        <v>1</v>
      </c>
      <c r="AG352" s="11">
        <v>0</v>
      </c>
      <c r="AH352" s="11">
        <v>0</v>
      </c>
      <c r="AI352" s="11">
        <v>1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1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5">
        <f t="shared" si="55"/>
        <v>55.115957289929661</v>
      </c>
      <c r="BH352" s="3">
        <f t="shared" si="56"/>
        <v>14.075431758104015</v>
      </c>
      <c r="BI352" s="3">
        <f t="shared" si="57"/>
        <v>40.924568241895983</v>
      </c>
      <c r="BJ352" s="3">
        <f t="shared" si="49"/>
        <v>-1.0672997241306934</v>
      </c>
      <c r="BK352" s="3">
        <f t="shared" si="50"/>
        <v>-0.45609683602320777</v>
      </c>
      <c r="BL352" s="3">
        <f t="shared" si="51"/>
        <v>0.94333424358242735</v>
      </c>
      <c r="BM352" s="3">
        <f t="shared" si="52"/>
        <v>-0.64791763075022879</v>
      </c>
      <c r="BN352" s="3">
        <f t="shared" si="53"/>
        <v>43.520823692497714</v>
      </c>
      <c r="BO352" s="2" t="str">
        <f t="shared" si="54"/>
        <v>NC</v>
      </c>
    </row>
    <row r="353" spans="1:67" x14ac:dyDescent="0.35">
      <c r="A353" s="1">
        <v>352</v>
      </c>
      <c r="B353" s="10" t="s">
        <v>327</v>
      </c>
      <c r="C353" s="11">
        <v>20</v>
      </c>
      <c r="D353" s="11">
        <v>1</v>
      </c>
      <c r="E353" s="11">
        <v>1</v>
      </c>
      <c r="F353" s="11">
        <v>1</v>
      </c>
      <c r="G353" s="11">
        <v>1</v>
      </c>
      <c r="H353" s="11">
        <v>1</v>
      </c>
      <c r="I353" s="11">
        <v>1</v>
      </c>
      <c r="J353" s="11">
        <v>1</v>
      </c>
      <c r="K353" s="11">
        <v>1</v>
      </c>
      <c r="L353" s="11">
        <v>1</v>
      </c>
      <c r="M353" s="11">
        <v>1</v>
      </c>
      <c r="N353" s="11">
        <v>0</v>
      </c>
      <c r="O353" s="11">
        <v>1</v>
      </c>
      <c r="P353" s="11">
        <v>1</v>
      </c>
      <c r="Q353" s="11">
        <v>1</v>
      </c>
      <c r="R353" s="11">
        <v>0</v>
      </c>
      <c r="S353" s="11">
        <v>1</v>
      </c>
      <c r="T353" s="11">
        <v>1</v>
      </c>
      <c r="U353" s="11">
        <v>1</v>
      </c>
      <c r="V353" s="11">
        <v>1</v>
      </c>
      <c r="W353" s="11">
        <v>0</v>
      </c>
      <c r="X353" s="11">
        <v>0</v>
      </c>
      <c r="Y353" s="11">
        <v>0</v>
      </c>
      <c r="Z353" s="11">
        <v>1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1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</v>
      </c>
      <c r="AW353" s="11">
        <v>1</v>
      </c>
      <c r="AX353" s="11">
        <v>0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5">
        <f t="shared" si="55"/>
        <v>54.920241137598545</v>
      </c>
      <c r="BH353" s="3">
        <f t="shared" si="56"/>
        <v>14.025450056224029</v>
      </c>
      <c r="BI353" s="3">
        <f t="shared" si="57"/>
        <v>40.974549943775969</v>
      </c>
      <c r="BJ353" s="3">
        <f t="shared" si="49"/>
        <v>-1.0720776004268919</v>
      </c>
      <c r="BK353" s="3">
        <f t="shared" si="50"/>
        <v>-0.45609683602320777</v>
      </c>
      <c r="BL353" s="3">
        <f t="shared" si="51"/>
        <v>0.94333424358242735</v>
      </c>
      <c r="BM353" s="3">
        <f t="shared" si="52"/>
        <v>-0.65298251239605354</v>
      </c>
      <c r="BN353" s="3">
        <f t="shared" si="53"/>
        <v>43.470174876039465</v>
      </c>
      <c r="BO353" s="2" t="str">
        <f t="shared" si="54"/>
        <v>NC</v>
      </c>
    </row>
    <row r="354" spans="1:67" x14ac:dyDescent="0.35">
      <c r="A354" s="15">
        <v>353</v>
      </c>
      <c r="B354" s="10" t="s">
        <v>328</v>
      </c>
      <c r="C354" s="11">
        <v>19</v>
      </c>
      <c r="D354" s="11">
        <v>1</v>
      </c>
      <c r="E354" s="11">
        <v>0</v>
      </c>
      <c r="F354" s="11">
        <v>1</v>
      </c>
      <c r="G354" s="11">
        <v>1</v>
      </c>
      <c r="H354" s="11">
        <v>1</v>
      </c>
      <c r="I354" s="11">
        <v>0</v>
      </c>
      <c r="J354" s="11">
        <v>1</v>
      </c>
      <c r="K354" s="11">
        <v>1</v>
      </c>
      <c r="L354" s="11">
        <v>1</v>
      </c>
      <c r="M354" s="11">
        <v>1</v>
      </c>
      <c r="N354" s="11">
        <v>1</v>
      </c>
      <c r="O354" s="11">
        <v>0</v>
      </c>
      <c r="P354" s="11">
        <v>0</v>
      </c>
      <c r="Q354" s="11">
        <v>1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1</v>
      </c>
      <c r="X354" s="11">
        <v>1</v>
      </c>
      <c r="Y354" s="11">
        <v>0</v>
      </c>
      <c r="Z354" s="11">
        <v>1</v>
      </c>
      <c r="AA354" s="11">
        <v>0</v>
      </c>
      <c r="AB354" s="11">
        <v>0</v>
      </c>
      <c r="AC354" s="11">
        <v>1</v>
      </c>
      <c r="AD354" s="11">
        <v>0</v>
      </c>
      <c r="AE354" s="11">
        <v>0</v>
      </c>
      <c r="AF354" s="11">
        <v>0</v>
      </c>
      <c r="AG354" s="11">
        <v>1</v>
      </c>
      <c r="AH354" s="11">
        <v>0</v>
      </c>
      <c r="AI354" s="11">
        <v>0</v>
      </c>
      <c r="AJ354" s="11">
        <v>1</v>
      </c>
      <c r="AK354" s="11">
        <v>1</v>
      </c>
      <c r="AL354" s="11">
        <v>1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1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5">
        <f t="shared" si="55"/>
        <v>54.886245353775145</v>
      </c>
      <c r="BH354" s="3">
        <f t="shared" si="56"/>
        <v>14.016768263168119</v>
      </c>
      <c r="BI354" s="3">
        <f t="shared" si="57"/>
        <v>40.983231736831883</v>
      </c>
      <c r="BJ354" s="3">
        <f t="shared" si="49"/>
        <v>-1.0729086550312035</v>
      </c>
      <c r="BK354" s="3">
        <f t="shared" si="50"/>
        <v>-0.45609683602320777</v>
      </c>
      <c r="BL354" s="3">
        <f t="shared" si="51"/>
        <v>0.94333424358242735</v>
      </c>
      <c r="BM354" s="3">
        <f t="shared" si="52"/>
        <v>-0.65386348815831941</v>
      </c>
      <c r="BN354" s="3">
        <f t="shared" si="53"/>
        <v>43.461365118416808</v>
      </c>
      <c r="BO354" s="2" t="str">
        <f t="shared" si="54"/>
        <v>NC</v>
      </c>
    </row>
    <row r="355" spans="1:67" x14ac:dyDescent="0.35">
      <c r="A355" s="15">
        <v>354</v>
      </c>
      <c r="B355" s="12">
        <v>2803005</v>
      </c>
      <c r="C355" s="11">
        <v>19</v>
      </c>
      <c r="D355" s="11">
        <v>1</v>
      </c>
      <c r="E355" s="11">
        <v>1</v>
      </c>
      <c r="F355" s="11">
        <v>1</v>
      </c>
      <c r="G355" s="11">
        <v>0</v>
      </c>
      <c r="H355" s="11">
        <v>1</v>
      </c>
      <c r="I355" s="11">
        <v>1</v>
      </c>
      <c r="J355" s="11">
        <v>1</v>
      </c>
      <c r="K355" s="11">
        <v>1</v>
      </c>
      <c r="L355" s="11">
        <v>1</v>
      </c>
      <c r="M355" s="11">
        <v>1</v>
      </c>
      <c r="N355" s="11">
        <v>0</v>
      </c>
      <c r="O355" s="11">
        <v>0</v>
      </c>
      <c r="P355" s="11">
        <v>0</v>
      </c>
      <c r="Q355" s="11">
        <v>1</v>
      </c>
      <c r="R355" s="11">
        <v>1</v>
      </c>
      <c r="S355" s="11">
        <v>1</v>
      </c>
      <c r="T355" s="11">
        <v>0</v>
      </c>
      <c r="U355" s="11">
        <v>0</v>
      </c>
      <c r="V355" s="11">
        <v>1</v>
      </c>
      <c r="W355" s="11">
        <v>1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1</v>
      </c>
      <c r="AD355" s="11">
        <v>0</v>
      </c>
      <c r="AE355" s="11">
        <v>0</v>
      </c>
      <c r="AF355" s="11">
        <v>0</v>
      </c>
      <c r="AG355" s="11">
        <v>1</v>
      </c>
      <c r="AH355" s="11">
        <v>1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1</v>
      </c>
      <c r="AT355" s="11">
        <v>1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5">
        <f t="shared" si="55"/>
        <v>54.776611502978675</v>
      </c>
      <c r="BH355" s="3">
        <f t="shared" si="56"/>
        <v>13.988770132297482</v>
      </c>
      <c r="BI355" s="3">
        <f t="shared" si="57"/>
        <v>41.011229867702518</v>
      </c>
      <c r="BJ355" s="3">
        <f t="shared" si="49"/>
        <v>-1.0755910540862279</v>
      </c>
      <c r="BK355" s="3">
        <f t="shared" si="50"/>
        <v>-0.45609683602320777</v>
      </c>
      <c r="BL355" s="3">
        <f t="shared" si="51"/>
        <v>0.94333424358242735</v>
      </c>
      <c r="BM355" s="3">
        <f t="shared" si="52"/>
        <v>-0.65670701798168052</v>
      </c>
      <c r="BN355" s="3">
        <f t="shared" si="53"/>
        <v>43.432929820183197</v>
      </c>
      <c r="BO355" s="2" t="str">
        <f t="shared" si="54"/>
        <v>NC</v>
      </c>
    </row>
    <row r="356" spans="1:67" x14ac:dyDescent="0.35">
      <c r="A356" s="1">
        <v>355</v>
      </c>
      <c r="B356" s="10" t="s">
        <v>329</v>
      </c>
      <c r="C356" s="11">
        <v>19</v>
      </c>
      <c r="D356" s="11">
        <v>1</v>
      </c>
      <c r="E356" s="11">
        <v>1</v>
      </c>
      <c r="F356" s="11">
        <v>1</v>
      </c>
      <c r="G356" s="11">
        <v>1</v>
      </c>
      <c r="H356" s="11">
        <v>1</v>
      </c>
      <c r="I356" s="11">
        <v>0</v>
      </c>
      <c r="J356" s="11">
        <v>0</v>
      </c>
      <c r="K356" s="11">
        <v>1</v>
      </c>
      <c r="L356" s="11">
        <v>0</v>
      </c>
      <c r="M356" s="11">
        <v>0</v>
      </c>
      <c r="N356" s="11">
        <v>1</v>
      </c>
      <c r="O356" s="11">
        <v>0</v>
      </c>
      <c r="P356" s="11">
        <v>0</v>
      </c>
      <c r="Q356" s="11">
        <v>1</v>
      </c>
      <c r="R356" s="11">
        <v>0</v>
      </c>
      <c r="S356" s="11">
        <v>0</v>
      </c>
      <c r="T356" s="11">
        <v>1</v>
      </c>
      <c r="U356" s="11">
        <v>1</v>
      </c>
      <c r="V356" s="11">
        <v>0</v>
      </c>
      <c r="W356" s="11">
        <v>1</v>
      </c>
      <c r="X356" s="11">
        <v>0</v>
      </c>
      <c r="Y356" s="11">
        <v>1</v>
      </c>
      <c r="Z356" s="11">
        <v>1</v>
      </c>
      <c r="AA356" s="11">
        <v>0</v>
      </c>
      <c r="AB356" s="11">
        <v>0</v>
      </c>
      <c r="AC356" s="11">
        <v>1</v>
      </c>
      <c r="AD356" s="11">
        <v>0</v>
      </c>
      <c r="AE356" s="11">
        <v>1</v>
      </c>
      <c r="AF356" s="11">
        <v>1</v>
      </c>
      <c r="AG356" s="11">
        <v>1</v>
      </c>
      <c r="AH356" s="11">
        <v>1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1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5">
        <f t="shared" si="55"/>
        <v>54.764812616783438</v>
      </c>
      <c r="BH356" s="3">
        <f t="shared" si="56"/>
        <v>13.98575695016968</v>
      </c>
      <c r="BI356" s="3">
        <f t="shared" si="57"/>
        <v>41.01424304983032</v>
      </c>
      <c r="BJ356" s="3">
        <f t="shared" si="49"/>
        <v>-1.0758799467867133</v>
      </c>
      <c r="BK356" s="3">
        <f t="shared" si="50"/>
        <v>-0.45609683602320777</v>
      </c>
      <c r="BL356" s="3">
        <f t="shared" si="51"/>
        <v>0.94333424358242735</v>
      </c>
      <c r="BM356" s="3">
        <f t="shared" si="52"/>
        <v>-0.65701326436513441</v>
      </c>
      <c r="BN356" s="3">
        <f t="shared" si="53"/>
        <v>43.429867356348659</v>
      </c>
      <c r="BO356" s="2" t="str">
        <f t="shared" si="54"/>
        <v>NC</v>
      </c>
    </row>
    <row r="357" spans="1:67" x14ac:dyDescent="0.35">
      <c r="A357" s="15">
        <v>356</v>
      </c>
      <c r="B357" s="12">
        <v>1101008</v>
      </c>
      <c r="C357" s="11">
        <v>20</v>
      </c>
      <c r="D357" s="11">
        <v>0</v>
      </c>
      <c r="E357" s="11">
        <v>1</v>
      </c>
      <c r="F357" s="11">
        <v>1</v>
      </c>
      <c r="G357" s="11">
        <v>1</v>
      </c>
      <c r="H357" s="11">
        <v>1</v>
      </c>
      <c r="I357" s="11">
        <v>1</v>
      </c>
      <c r="J357" s="11">
        <v>1</v>
      </c>
      <c r="K357" s="11">
        <v>1</v>
      </c>
      <c r="L357" s="11">
        <v>1</v>
      </c>
      <c r="M357" s="11">
        <v>1</v>
      </c>
      <c r="N357" s="11">
        <v>0</v>
      </c>
      <c r="O357" s="11">
        <v>1</v>
      </c>
      <c r="P357" s="11">
        <v>0</v>
      </c>
      <c r="Q357" s="11">
        <v>1</v>
      </c>
      <c r="R357" s="11">
        <v>0</v>
      </c>
      <c r="S357" s="11">
        <v>1</v>
      </c>
      <c r="T357" s="11">
        <v>1</v>
      </c>
      <c r="U357" s="11">
        <v>0</v>
      </c>
      <c r="V357" s="11">
        <v>1</v>
      </c>
      <c r="W357" s="11">
        <v>0</v>
      </c>
      <c r="X357" s="11">
        <v>0</v>
      </c>
      <c r="Y357" s="11">
        <v>0</v>
      </c>
      <c r="Z357" s="11">
        <v>0</v>
      </c>
      <c r="AA357" s="11">
        <v>1</v>
      </c>
      <c r="AB357" s="11">
        <v>0</v>
      </c>
      <c r="AC357" s="11">
        <v>1</v>
      </c>
      <c r="AD357" s="11">
        <v>0</v>
      </c>
      <c r="AE357" s="11">
        <v>1</v>
      </c>
      <c r="AF357" s="11">
        <v>0</v>
      </c>
      <c r="AG357" s="11">
        <v>1</v>
      </c>
      <c r="AH357" s="11">
        <v>1</v>
      </c>
      <c r="AI357" s="11">
        <v>0</v>
      </c>
      <c r="AJ357" s="11">
        <v>0</v>
      </c>
      <c r="AK357" s="11">
        <v>0</v>
      </c>
      <c r="AL357" s="11">
        <v>0</v>
      </c>
      <c r="AM357" s="11">
        <v>1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5">
        <f t="shared" si="55"/>
        <v>54.731331866540884</v>
      </c>
      <c r="BH357" s="3">
        <f t="shared" si="56"/>
        <v>13.977206685628865</v>
      </c>
      <c r="BI357" s="3">
        <f t="shared" si="57"/>
        <v>41.022793314371135</v>
      </c>
      <c r="BJ357" s="3">
        <f t="shared" si="49"/>
        <v>-1.076699937780355</v>
      </c>
      <c r="BK357" s="3">
        <f t="shared" si="50"/>
        <v>-0.45609683602320777</v>
      </c>
      <c r="BL357" s="3">
        <f t="shared" si="51"/>
        <v>0.94333424358242735</v>
      </c>
      <c r="BM357" s="3">
        <f t="shared" si="52"/>
        <v>-0.65788251192952651</v>
      </c>
      <c r="BN357" s="3">
        <f t="shared" si="53"/>
        <v>43.421174880704733</v>
      </c>
      <c r="BO357" s="2" t="str">
        <f t="shared" si="54"/>
        <v>NC</v>
      </c>
    </row>
    <row r="358" spans="1:67" x14ac:dyDescent="0.35">
      <c r="A358" s="15">
        <v>357</v>
      </c>
      <c r="B358" s="10" t="s">
        <v>330</v>
      </c>
      <c r="C358" s="11">
        <v>17</v>
      </c>
      <c r="D358" s="11">
        <v>1</v>
      </c>
      <c r="E358" s="11">
        <v>0</v>
      </c>
      <c r="F358" s="11">
        <v>1</v>
      </c>
      <c r="G358" s="11">
        <v>1</v>
      </c>
      <c r="H358" s="11">
        <v>1</v>
      </c>
      <c r="I358" s="11">
        <v>1</v>
      </c>
      <c r="J358" s="11">
        <v>1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1</v>
      </c>
      <c r="Q358" s="11">
        <v>0</v>
      </c>
      <c r="R358" s="11">
        <v>1</v>
      </c>
      <c r="S358" s="11">
        <v>1</v>
      </c>
      <c r="T358" s="11">
        <v>1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1</v>
      </c>
      <c r="AB358" s="11">
        <v>0</v>
      </c>
      <c r="AC358" s="11">
        <v>0</v>
      </c>
      <c r="AD358" s="11">
        <v>1</v>
      </c>
      <c r="AE358" s="11">
        <v>1</v>
      </c>
      <c r="AF358" s="11">
        <v>1</v>
      </c>
      <c r="AG358" s="11">
        <v>0</v>
      </c>
      <c r="AH358" s="11">
        <v>0</v>
      </c>
      <c r="AI358" s="11">
        <v>1</v>
      </c>
      <c r="AJ358" s="11">
        <v>0</v>
      </c>
      <c r="AK358" s="11">
        <v>0</v>
      </c>
      <c r="AL358" s="11">
        <v>0</v>
      </c>
      <c r="AM358" s="11">
        <v>1</v>
      </c>
      <c r="AN358" s="11">
        <v>1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5">
        <f t="shared" si="55"/>
        <v>54.677140823552442</v>
      </c>
      <c r="BH358" s="3">
        <f t="shared" si="56"/>
        <v>13.963367457118837</v>
      </c>
      <c r="BI358" s="3">
        <f t="shared" si="57"/>
        <v>41.036632542881165</v>
      </c>
      <c r="BJ358" s="3">
        <f t="shared" si="49"/>
        <v>-1.0780278543457116</v>
      </c>
      <c r="BK358" s="3">
        <f t="shared" si="50"/>
        <v>-0.45609683602320777</v>
      </c>
      <c r="BL358" s="3">
        <f t="shared" si="51"/>
        <v>0.94333424358242735</v>
      </c>
      <c r="BM358" s="3">
        <f t="shared" si="52"/>
        <v>-0.65929019597618388</v>
      </c>
      <c r="BN358" s="3">
        <f t="shared" si="53"/>
        <v>43.407098040238161</v>
      </c>
      <c r="BO358" s="2" t="str">
        <f t="shared" si="54"/>
        <v>NC</v>
      </c>
    </row>
    <row r="359" spans="1:67" x14ac:dyDescent="0.35">
      <c r="A359" s="1">
        <v>358</v>
      </c>
      <c r="B359" s="10" t="s">
        <v>331</v>
      </c>
      <c r="C359" s="11">
        <v>18</v>
      </c>
      <c r="D359" s="11">
        <v>1</v>
      </c>
      <c r="E359" s="11">
        <v>1</v>
      </c>
      <c r="F359" s="11">
        <v>1</v>
      </c>
      <c r="G359" s="11">
        <v>1</v>
      </c>
      <c r="H359" s="11">
        <v>1</v>
      </c>
      <c r="I359" s="11">
        <v>1</v>
      </c>
      <c r="J359" s="11">
        <v>1</v>
      </c>
      <c r="K359" s="11">
        <v>0</v>
      </c>
      <c r="L359" s="11">
        <v>1</v>
      </c>
      <c r="M359" s="11">
        <v>0</v>
      </c>
      <c r="N359" s="11">
        <v>1</v>
      </c>
      <c r="O359" s="11">
        <v>0</v>
      </c>
      <c r="P359" s="11">
        <v>0</v>
      </c>
      <c r="Q359" s="11">
        <v>1</v>
      </c>
      <c r="R359" s="11">
        <v>1</v>
      </c>
      <c r="S359" s="11">
        <v>0</v>
      </c>
      <c r="T359" s="11">
        <v>1</v>
      </c>
      <c r="U359" s="11">
        <v>0</v>
      </c>
      <c r="V359" s="11">
        <v>1</v>
      </c>
      <c r="W359" s="11">
        <v>0</v>
      </c>
      <c r="X359" s="11">
        <v>0</v>
      </c>
      <c r="Y359" s="11">
        <v>0</v>
      </c>
      <c r="Z359" s="11">
        <v>0</v>
      </c>
      <c r="AA359" s="11">
        <v>1</v>
      </c>
      <c r="AB359" s="11">
        <v>1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1</v>
      </c>
      <c r="AJ359" s="11">
        <v>0</v>
      </c>
      <c r="AK359" s="11">
        <v>1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1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5">
        <f t="shared" si="55"/>
        <v>54.448818388813713</v>
      </c>
      <c r="BH359" s="3">
        <f t="shared" si="56"/>
        <v>13.905058811002</v>
      </c>
      <c r="BI359" s="3">
        <f t="shared" si="57"/>
        <v>41.094941188998</v>
      </c>
      <c r="BJ359" s="3">
        <f t="shared" si="49"/>
        <v>-1.0836323113377926</v>
      </c>
      <c r="BK359" s="3">
        <f t="shared" si="50"/>
        <v>-0.45609683602320777</v>
      </c>
      <c r="BL359" s="3">
        <f t="shared" si="51"/>
        <v>0.94333424358242735</v>
      </c>
      <c r="BM359" s="3">
        <f t="shared" si="52"/>
        <v>-0.66523131072973873</v>
      </c>
      <c r="BN359" s="3">
        <f t="shared" si="53"/>
        <v>43.347686892702612</v>
      </c>
      <c r="BO359" s="2" t="str">
        <f t="shared" si="54"/>
        <v>NC</v>
      </c>
    </row>
    <row r="360" spans="1:67" x14ac:dyDescent="0.35">
      <c r="A360" s="15">
        <v>359</v>
      </c>
      <c r="B360" s="10" t="s">
        <v>332</v>
      </c>
      <c r="C360" s="11">
        <v>19</v>
      </c>
      <c r="D360" s="11">
        <v>1</v>
      </c>
      <c r="E360" s="11">
        <v>1</v>
      </c>
      <c r="F360" s="11">
        <v>1</v>
      </c>
      <c r="G360" s="11">
        <v>0</v>
      </c>
      <c r="H360" s="11">
        <v>1</v>
      </c>
      <c r="I360" s="11">
        <v>1</v>
      </c>
      <c r="J360" s="11">
        <v>1</v>
      </c>
      <c r="K360" s="11">
        <v>1</v>
      </c>
      <c r="L360" s="11">
        <v>1</v>
      </c>
      <c r="M360" s="11">
        <v>1</v>
      </c>
      <c r="N360" s="11">
        <v>0</v>
      </c>
      <c r="O360" s="11">
        <v>1</v>
      </c>
      <c r="P360" s="11">
        <v>0</v>
      </c>
      <c r="Q360" s="11">
        <v>0</v>
      </c>
      <c r="R360" s="11">
        <v>0</v>
      </c>
      <c r="S360" s="11">
        <v>1</v>
      </c>
      <c r="T360" s="11">
        <v>1</v>
      </c>
      <c r="U360" s="11">
        <v>0</v>
      </c>
      <c r="V360" s="11">
        <v>1</v>
      </c>
      <c r="W360" s="11">
        <v>1</v>
      </c>
      <c r="X360" s="11">
        <v>0</v>
      </c>
      <c r="Y360" s="11">
        <v>0</v>
      </c>
      <c r="Z360" s="11">
        <v>1</v>
      </c>
      <c r="AA360" s="11">
        <v>0</v>
      </c>
      <c r="AB360" s="11">
        <v>0</v>
      </c>
      <c r="AC360" s="11">
        <v>1</v>
      </c>
      <c r="AD360" s="11">
        <v>0</v>
      </c>
      <c r="AE360" s="11">
        <v>0</v>
      </c>
      <c r="AF360" s="11">
        <v>0</v>
      </c>
      <c r="AG360" s="11">
        <v>0</v>
      </c>
      <c r="AH360" s="11">
        <v>1</v>
      </c>
      <c r="AI360" s="11">
        <v>0</v>
      </c>
      <c r="AJ360" s="11">
        <v>0</v>
      </c>
      <c r="AK360" s="11">
        <v>0</v>
      </c>
      <c r="AL360" s="11">
        <v>0</v>
      </c>
      <c r="AM360" s="11">
        <v>1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1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5">
        <f t="shared" si="55"/>
        <v>54.35917385222627</v>
      </c>
      <c r="BH360" s="3">
        <f t="shared" si="56"/>
        <v>13.882165521666828</v>
      </c>
      <c r="BI360" s="3">
        <f t="shared" si="57"/>
        <v>41.117834478333172</v>
      </c>
      <c r="BJ360" s="3">
        <f t="shared" si="49"/>
        <v>-1.085836995975118</v>
      </c>
      <c r="BK360" s="3">
        <f t="shared" si="50"/>
        <v>-0.45609683602320777</v>
      </c>
      <c r="BL360" s="3">
        <f t="shared" si="51"/>
        <v>0.94333424358242735</v>
      </c>
      <c r="BM360" s="3">
        <f t="shared" si="52"/>
        <v>-0.6675684299982525</v>
      </c>
      <c r="BN360" s="3">
        <f t="shared" si="53"/>
        <v>43.324315700017479</v>
      </c>
      <c r="BO360" s="2" t="str">
        <f t="shared" si="54"/>
        <v>NC</v>
      </c>
    </row>
    <row r="361" spans="1:67" x14ac:dyDescent="0.35">
      <c r="A361" s="15">
        <v>360</v>
      </c>
      <c r="B361" s="10" t="s">
        <v>333</v>
      </c>
      <c r="C361" s="11">
        <v>18</v>
      </c>
      <c r="D361" s="11">
        <v>1</v>
      </c>
      <c r="E361" s="11">
        <v>1</v>
      </c>
      <c r="F361" s="11">
        <v>0</v>
      </c>
      <c r="G361" s="11">
        <v>1</v>
      </c>
      <c r="H361" s="11">
        <v>1</v>
      </c>
      <c r="I361" s="11">
        <v>0</v>
      </c>
      <c r="J361" s="11">
        <v>1</v>
      </c>
      <c r="K361" s="11">
        <v>0</v>
      </c>
      <c r="L361" s="11">
        <v>0</v>
      </c>
      <c r="M361" s="11">
        <v>1</v>
      </c>
      <c r="N361" s="11">
        <v>1</v>
      </c>
      <c r="O361" s="11">
        <v>0</v>
      </c>
      <c r="P361" s="11">
        <v>1</v>
      </c>
      <c r="Q361" s="11">
        <v>1</v>
      </c>
      <c r="R361" s="11">
        <v>0</v>
      </c>
      <c r="S361" s="11">
        <v>0</v>
      </c>
      <c r="T361" s="11">
        <v>1</v>
      </c>
      <c r="U361" s="11">
        <v>1</v>
      </c>
      <c r="V361" s="11">
        <v>0</v>
      </c>
      <c r="W361" s="11">
        <v>1</v>
      </c>
      <c r="X361" s="11">
        <v>1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1</v>
      </c>
      <c r="AG361" s="11">
        <v>1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1</v>
      </c>
      <c r="AN361" s="11">
        <v>1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1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5">
        <f t="shared" si="55"/>
        <v>54.24616508561202</v>
      </c>
      <c r="BH361" s="3">
        <f t="shared" si="56"/>
        <v>13.853305509779908</v>
      </c>
      <c r="BI361" s="3">
        <f t="shared" si="57"/>
        <v>41.146694490220092</v>
      </c>
      <c r="BJ361" s="3">
        <f t="shared" si="49"/>
        <v>-1.0886197264674256</v>
      </c>
      <c r="BK361" s="3">
        <f t="shared" si="50"/>
        <v>-0.45609683602320777</v>
      </c>
      <c r="BL361" s="3">
        <f t="shared" si="51"/>
        <v>0.94333424358242735</v>
      </c>
      <c r="BM361" s="3">
        <f t="shared" si="52"/>
        <v>-0.67051831813306662</v>
      </c>
      <c r="BN361" s="3">
        <f t="shared" si="53"/>
        <v>43.294816818669332</v>
      </c>
      <c r="BO361" s="2" t="str">
        <f t="shared" si="54"/>
        <v>NC</v>
      </c>
    </row>
    <row r="362" spans="1:67" x14ac:dyDescent="0.35">
      <c r="A362" s="1">
        <v>361</v>
      </c>
      <c r="B362" s="12">
        <v>6767767</v>
      </c>
      <c r="C362" s="11">
        <v>19</v>
      </c>
      <c r="D362" s="11">
        <v>0</v>
      </c>
      <c r="E362" s="11">
        <v>1</v>
      </c>
      <c r="F362" s="11">
        <v>1</v>
      </c>
      <c r="G362" s="11">
        <v>1</v>
      </c>
      <c r="H362" s="11">
        <v>1</v>
      </c>
      <c r="I362" s="11">
        <v>1</v>
      </c>
      <c r="J362" s="11">
        <v>1</v>
      </c>
      <c r="K362" s="11">
        <v>1</v>
      </c>
      <c r="L362" s="11">
        <v>0</v>
      </c>
      <c r="M362" s="11">
        <v>1</v>
      </c>
      <c r="N362" s="11">
        <v>0</v>
      </c>
      <c r="O362" s="11">
        <v>1</v>
      </c>
      <c r="P362" s="11">
        <v>0</v>
      </c>
      <c r="Q362" s="11">
        <v>1</v>
      </c>
      <c r="R362" s="11">
        <v>0</v>
      </c>
      <c r="S362" s="11">
        <v>1</v>
      </c>
      <c r="T362" s="11">
        <v>1</v>
      </c>
      <c r="U362" s="11">
        <v>0</v>
      </c>
      <c r="V362" s="11">
        <v>0</v>
      </c>
      <c r="W362" s="11">
        <v>1</v>
      </c>
      <c r="X362" s="11">
        <v>0</v>
      </c>
      <c r="Y362" s="11">
        <v>1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1</v>
      </c>
      <c r="AF362" s="11">
        <v>0</v>
      </c>
      <c r="AG362" s="11">
        <v>0</v>
      </c>
      <c r="AH362" s="11">
        <v>0</v>
      </c>
      <c r="AI362" s="11">
        <v>0</v>
      </c>
      <c r="AJ362" s="11">
        <v>1</v>
      </c>
      <c r="AK362" s="11">
        <v>0</v>
      </c>
      <c r="AL362" s="11">
        <v>1</v>
      </c>
      <c r="AM362" s="11">
        <v>0</v>
      </c>
      <c r="AN362" s="11">
        <v>0</v>
      </c>
      <c r="AO362" s="11">
        <v>0</v>
      </c>
      <c r="AP362" s="11">
        <v>0</v>
      </c>
      <c r="AQ362" s="11">
        <v>1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1</v>
      </c>
      <c r="BC362" s="11">
        <v>0</v>
      </c>
      <c r="BD362" s="11">
        <v>0</v>
      </c>
      <c r="BE362" s="11">
        <v>0</v>
      </c>
      <c r="BF362" s="11">
        <v>0</v>
      </c>
      <c r="BG362" s="5">
        <f t="shared" si="55"/>
        <v>54.135000997703031</v>
      </c>
      <c r="BH362" s="3">
        <f t="shared" si="56"/>
        <v>13.824916589215867</v>
      </c>
      <c r="BI362" s="3">
        <f t="shared" si="57"/>
        <v>41.175083410784133</v>
      </c>
      <c r="BJ362" s="3">
        <f t="shared" si="49"/>
        <v>-1.0913607877640492</v>
      </c>
      <c r="BK362" s="3">
        <f t="shared" si="50"/>
        <v>-0.45609683602320777</v>
      </c>
      <c r="BL362" s="3">
        <f t="shared" si="51"/>
        <v>0.94333424358242735</v>
      </c>
      <c r="BM362" s="3">
        <f t="shared" si="52"/>
        <v>-0.67342403401825923</v>
      </c>
      <c r="BN362" s="3">
        <f t="shared" si="53"/>
        <v>43.265759659817405</v>
      </c>
      <c r="BO362" s="2" t="str">
        <f t="shared" si="54"/>
        <v>NC</v>
      </c>
    </row>
    <row r="363" spans="1:67" x14ac:dyDescent="0.35">
      <c r="A363" s="15">
        <v>362</v>
      </c>
      <c r="B363" s="10" t="s">
        <v>334</v>
      </c>
      <c r="C363" s="11">
        <v>20</v>
      </c>
      <c r="D363" s="11">
        <v>1</v>
      </c>
      <c r="E363" s="11">
        <v>1</v>
      </c>
      <c r="F363" s="11">
        <v>1</v>
      </c>
      <c r="G363" s="11">
        <v>1</v>
      </c>
      <c r="H363" s="11">
        <v>1</v>
      </c>
      <c r="I363" s="11">
        <v>0</v>
      </c>
      <c r="J363" s="11">
        <v>1</v>
      </c>
      <c r="K363" s="11">
        <v>1</v>
      </c>
      <c r="L363" s="11">
        <v>1</v>
      </c>
      <c r="M363" s="11">
        <v>1</v>
      </c>
      <c r="N363" s="11">
        <v>1</v>
      </c>
      <c r="O363" s="11">
        <v>1</v>
      </c>
      <c r="P363" s="11">
        <v>0</v>
      </c>
      <c r="Q363" s="11">
        <v>1</v>
      </c>
      <c r="R363" s="11">
        <v>0</v>
      </c>
      <c r="S363" s="11">
        <v>1</v>
      </c>
      <c r="T363" s="11">
        <v>1</v>
      </c>
      <c r="U363" s="11">
        <v>0</v>
      </c>
      <c r="V363" s="11">
        <v>1</v>
      </c>
      <c r="W363" s="11">
        <v>0</v>
      </c>
      <c r="X363" s="11">
        <v>0</v>
      </c>
      <c r="Y363" s="11">
        <v>1</v>
      </c>
      <c r="Z363" s="11">
        <v>0</v>
      </c>
      <c r="AA363" s="11">
        <v>0</v>
      </c>
      <c r="AB363" s="11">
        <v>0</v>
      </c>
      <c r="AC363" s="11">
        <v>0</v>
      </c>
      <c r="AD363" s="11">
        <v>1</v>
      </c>
      <c r="AE363" s="11">
        <v>0</v>
      </c>
      <c r="AF363" s="11">
        <v>0</v>
      </c>
      <c r="AG363" s="11">
        <v>1</v>
      </c>
      <c r="AH363" s="11">
        <v>1</v>
      </c>
      <c r="AI363" s="11">
        <v>0</v>
      </c>
      <c r="AJ363" s="11">
        <v>1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5">
        <f t="shared" si="55"/>
        <v>53.940210030077338</v>
      </c>
      <c r="BH363" s="3">
        <f t="shared" si="56"/>
        <v>13.775171159639314</v>
      </c>
      <c r="BI363" s="3">
        <f t="shared" si="57"/>
        <v>41.224828840360686</v>
      </c>
      <c r="BJ363" s="3">
        <f t="shared" si="49"/>
        <v>-1.096172936252239</v>
      </c>
      <c r="BK363" s="3">
        <f t="shared" si="50"/>
        <v>-0.45609683602320777</v>
      </c>
      <c r="BL363" s="3">
        <f t="shared" si="51"/>
        <v>0.94333424358242735</v>
      </c>
      <c r="BM363" s="3">
        <f t="shared" si="52"/>
        <v>-0.67852524657460089</v>
      </c>
      <c r="BN363" s="3">
        <f t="shared" si="53"/>
        <v>43.214747534253988</v>
      </c>
      <c r="BO363" s="2" t="str">
        <f t="shared" si="54"/>
        <v>NC</v>
      </c>
    </row>
    <row r="364" spans="1:67" x14ac:dyDescent="0.35">
      <c r="A364" s="15">
        <v>363</v>
      </c>
      <c r="B364" s="10" t="s">
        <v>335</v>
      </c>
      <c r="C364" s="11">
        <v>18</v>
      </c>
      <c r="D364" s="11">
        <v>1</v>
      </c>
      <c r="E364" s="11">
        <v>1</v>
      </c>
      <c r="F364" s="11">
        <v>1</v>
      </c>
      <c r="G364" s="11">
        <v>1</v>
      </c>
      <c r="H364" s="11">
        <v>1</v>
      </c>
      <c r="I364" s="11">
        <v>1</v>
      </c>
      <c r="J364" s="11">
        <v>1</v>
      </c>
      <c r="K364" s="11">
        <v>0</v>
      </c>
      <c r="L364" s="11">
        <v>0</v>
      </c>
      <c r="M364" s="11">
        <v>1</v>
      </c>
      <c r="N364" s="11">
        <v>0</v>
      </c>
      <c r="O364" s="11">
        <v>1</v>
      </c>
      <c r="P364" s="11">
        <v>0</v>
      </c>
      <c r="Q364" s="11">
        <v>1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1</v>
      </c>
      <c r="Y364" s="11">
        <v>0</v>
      </c>
      <c r="Z364" s="11">
        <v>0</v>
      </c>
      <c r="AA364" s="11">
        <v>1</v>
      </c>
      <c r="AB364" s="11">
        <v>0</v>
      </c>
      <c r="AC364" s="11">
        <v>0</v>
      </c>
      <c r="AD364" s="11">
        <v>1</v>
      </c>
      <c r="AE364" s="11">
        <v>1</v>
      </c>
      <c r="AF364" s="11">
        <v>0</v>
      </c>
      <c r="AG364" s="11">
        <v>0</v>
      </c>
      <c r="AH364" s="11">
        <v>0</v>
      </c>
      <c r="AI364" s="11">
        <v>0</v>
      </c>
      <c r="AJ364" s="11">
        <v>1</v>
      </c>
      <c r="AK364" s="11">
        <v>1</v>
      </c>
      <c r="AL364" s="11">
        <v>1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1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5">
        <f t="shared" si="55"/>
        <v>53.803187806518281</v>
      </c>
      <c r="BH364" s="3">
        <f t="shared" si="56"/>
        <v>13.740178626589332</v>
      </c>
      <c r="BI364" s="3">
        <f t="shared" si="57"/>
        <v>41.259821373410666</v>
      </c>
      <c r="BJ364" s="3">
        <f t="shared" si="49"/>
        <v>-1.0995648911524294</v>
      </c>
      <c r="BK364" s="3">
        <f t="shared" si="50"/>
        <v>-0.45609683602320777</v>
      </c>
      <c r="BL364" s="3">
        <f t="shared" si="51"/>
        <v>0.94333424358242735</v>
      </c>
      <c r="BM364" s="3">
        <f t="shared" si="52"/>
        <v>-0.68212095501332892</v>
      </c>
      <c r="BN364" s="3">
        <f t="shared" si="53"/>
        <v>43.17879044986671</v>
      </c>
      <c r="BO364" s="2" t="str">
        <f t="shared" si="54"/>
        <v>NC</v>
      </c>
    </row>
    <row r="365" spans="1:67" x14ac:dyDescent="0.35">
      <c r="A365" s="1">
        <v>364</v>
      </c>
      <c r="B365" s="10" t="s">
        <v>336</v>
      </c>
      <c r="C365" s="11">
        <v>19</v>
      </c>
      <c r="D365" s="11">
        <v>1</v>
      </c>
      <c r="E365" s="11">
        <v>1</v>
      </c>
      <c r="F365" s="11">
        <v>0</v>
      </c>
      <c r="G365" s="11">
        <v>1</v>
      </c>
      <c r="H365" s="11">
        <v>1</v>
      </c>
      <c r="I365" s="11">
        <v>1</v>
      </c>
      <c r="J365" s="11">
        <v>1</v>
      </c>
      <c r="K365" s="11">
        <v>1</v>
      </c>
      <c r="L365" s="11">
        <v>0</v>
      </c>
      <c r="M365" s="11">
        <v>1</v>
      </c>
      <c r="N365" s="11">
        <v>1</v>
      </c>
      <c r="O365" s="11">
        <v>1</v>
      </c>
      <c r="P365" s="11">
        <v>0</v>
      </c>
      <c r="Q365" s="11">
        <v>1</v>
      </c>
      <c r="R365" s="11">
        <v>1</v>
      </c>
      <c r="S365" s="11">
        <v>1</v>
      </c>
      <c r="T365" s="11">
        <v>1</v>
      </c>
      <c r="U365" s="11">
        <v>0</v>
      </c>
      <c r="V365" s="11">
        <v>1</v>
      </c>
      <c r="W365" s="11">
        <v>1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1</v>
      </c>
      <c r="AI365" s="11">
        <v>1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1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5">
        <f t="shared" si="55"/>
        <v>52.737793797234033</v>
      </c>
      <c r="BH365" s="3">
        <f t="shared" si="56"/>
        <v>13.46809987824628</v>
      </c>
      <c r="BI365" s="3">
        <f t="shared" si="57"/>
        <v>41.531900121753722</v>
      </c>
      <c r="BJ365" s="3">
        <f t="shared" si="49"/>
        <v>-1.1261378923493965</v>
      </c>
      <c r="BK365" s="3">
        <f t="shared" si="50"/>
        <v>-0.45609683602320777</v>
      </c>
      <c r="BL365" s="3">
        <f t="shared" si="51"/>
        <v>0.94333424358242735</v>
      </c>
      <c r="BM365" s="3">
        <f t="shared" si="52"/>
        <v>-0.71029018705143754</v>
      </c>
      <c r="BN365" s="3">
        <f t="shared" si="53"/>
        <v>42.897098129485627</v>
      </c>
      <c r="BO365" s="2" t="str">
        <f t="shared" si="54"/>
        <v>NC</v>
      </c>
    </row>
    <row r="366" spans="1:67" x14ac:dyDescent="0.35">
      <c r="A366" s="15">
        <v>365</v>
      </c>
      <c r="B366" s="10" t="s">
        <v>337</v>
      </c>
      <c r="C366" s="11">
        <v>18</v>
      </c>
      <c r="D366" s="11">
        <v>0</v>
      </c>
      <c r="E366" s="11">
        <v>1</v>
      </c>
      <c r="F366" s="11">
        <v>1</v>
      </c>
      <c r="G366" s="11">
        <v>1</v>
      </c>
      <c r="H366" s="11">
        <v>1</v>
      </c>
      <c r="I366" s="11">
        <v>0</v>
      </c>
      <c r="J366" s="11">
        <v>1</v>
      </c>
      <c r="K366" s="11">
        <v>1</v>
      </c>
      <c r="L366" s="11">
        <v>1</v>
      </c>
      <c r="M366" s="11">
        <v>1</v>
      </c>
      <c r="N366" s="11">
        <v>1</v>
      </c>
      <c r="O366" s="11">
        <v>0</v>
      </c>
      <c r="P366" s="11">
        <v>1</v>
      </c>
      <c r="Q366" s="11">
        <v>1</v>
      </c>
      <c r="R366" s="11">
        <v>1</v>
      </c>
      <c r="S366" s="11">
        <v>0</v>
      </c>
      <c r="T366" s="11">
        <v>1</v>
      </c>
      <c r="U366" s="11">
        <v>0</v>
      </c>
      <c r="V366" s="11">
        <v>1</v>
      </c>
      <c r="W366" s="11">
        <v>0</v>
      </c>
      <c r="X366" s="11">
        <v>0</v>
      </c>
      <c r="Y366" s="11">
        <v>1</v>
      </c>
      <c r="Z366" s="11">
        <v>0</v>
      </c>
      <c r="AA366" s="11">
        <v>0</v>
      </c>
      <c r="AB366" s="11">
        <v>0</v>
      </c>
      <c r="AC366" s="11">
        <v>0</v>
      </c>
      <c r="AD366" s="11">
        <v>1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1</v>
      </c>
      <c r="AU366" s="11">
        <v>0</v>
      </c>
      <c r="AV366" s="11">
        <v>0</v>
      </c>
      <c r="AW366" s="11">
        <v>0</v>
      </c>
      <c r="AX366" s="11">
        <v>1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5">
        <f t="shared" si="55"/>
        <v>52.563724699549795</v>
      </c>
      <c r="BH366" s="3">
        <f t="shared" si="56"/>
        <v>13.423646369206041</v>
      </c>
      <c r="BI366" s="3">
        <f t="shared" si="57"/>
        <v>41.57635363079396</v>
      </c>
      <c r="BJ366" s="3">
        <f t="shared" si="49"/>
        <v>-1.1305137771153992</v>
      </c>
      <c r="BK366" s="3">
        <f t="shared" si="50"/>
        <v>-0.45609683602320777</v>
      </c>
      <c r="BL366" s="3">
        <f t="shared" si="51"/>
        <v>0.94333424358242735</v>
      </c>
      <c r="BM366" s="3">
        <f t="shared" si="52"/>
        <v>-0.71492892967715294</v>
      </c>
      <c r="BN366" s="3">
        <f t="shared" si="53"/>
        <v>42.850710703228472</v>
      </c>
      <c r="BO366" s="2" t="str">
        <f t="shared" si="54"/>
        <v>NC</v>
      </c>
    </row>
    <row r="367" spans="1:67" x14ac:dyDescent="0.35">
      <c r="A367" s="15">
        <v>366</v>
      </c>
      <c r="B367" s="10" t="s">
        <v>338</v>
      </c>
      <c r="C367" s="11">
        <v>19</v>
      </c>
      <c r="D367" s="11">
        <v>1</v>
      </c>
      <c r="E367" s="11">
        <v>1</v>
      </c>
      <c r="F367" s="11">
        <v>0</v>
      </c>
      <c r="G367" s="11">
        <v>1</v>
      </c>
      <c r="H367" s="11">
        <v>1</v>
      </c>
      <c r="I367" s="11">
        <v>0</v>
      </c>
      <c r="J367" s="11">
        <v>1</v>
      </c>
      <c r="K367" s="11">
        <v>1</v>
      </c>
      <c r="L367" s="11">
        <v>1</v>
      </c>
      <c r="M367" s="11">
        <v>1</v>
      </c>
      <c r="N367" s="11">
        <v>0</v>
      </c>
      <c r="O367" s="11">
        <v>0</v>
      </c>
      <c r="P367" s="11">
        <v>1</v>
      </c>
      <c r="Q367" s="11">
        <v>1</v>
      </c>
      <c r="R367" s="11">
        <v>0</v>
      </c>
      <c r="S367" s="11">
        <v>1</v>
      </c>
      <c r="T367" s="11">
        <v>1</v>
      </c>
      <c r="U367" s="11">
        <v>1</v>
      </c>
      <c r="V367" s="11">
        <v>1</v>
      </c>
      <c r="W367" s="11">
        <v>0</v>
      </c>
      <c r="X367" s="11">
        <v>1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1</v>
      </c>
      <c r="AF367" s="11">
        <v>1</v>
      </c>
      <c r="AG367" s="11">
        <v>0</v>
      </c>
      <c r="AH367" s="11">
        <v>1</v>
      </c>
      <c r="AI367" s="11">
        <v>0</v>
      </c>
      <c r="AJ367" s="11">
        <v>1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5">
        <f t="shared" si="55"/>
        <v>52.577679910296922</v>
      </c>
      <c r="BH367" s="3">
        <f t="shared" si="56"/>
        <v>13.427210230312689</v>
      </c>
      <c r="BI367" s="3">
        <f t="shared" si="57"/>
        <v>41.572789769687311</v>
      </c>
      <c r="BJ367" s="3">
        <f t="shared" si="49"/>
        <v>-1.1301625989317956</v>
      </c>
      <c r="BK367" s="3">
        <f t="shared" si="50"/>
        <v>-0.45609683602320777</v>
      </c>
      <c r="BL367" s="3">
        <f t="shared" si="51"/>
        <v>0.94333424358242735</v>
      </c>
      <c r="BM367" s="3">
        <f t="shared" si="52"/>
        <v>-0.71455665634350396</v>
      </c>
      <c r="BN367" s="3">
        <f t="shared" si="53"/>
        <v>42.85443343656496</v>
      </c>
      <c r="BO367" s="2" t="str">
        <f t="shared" si="54"/>
        <v>NC</v>
      </c>
    </row>
    <row r="368" spans="1:67" x14ac:dyDescent="0.35">
      <c r="A368" s="1">
        <v>367</v>
      </c>
      <c r="B368" s="10" t="s">
        <v>339</v>
      </c>
      <c r="C368" s="11">
        <v>19</v>
      </c>
      <c r="D368" s="11">
        <v>0</v>
      </c>
      <c r="E368" s="11">
        <v>1</v>
      </c>
      <c r="F368" s="11">
        <v>1</v>
      </c>
      <c r="G368" s="11">
        <v>1</v>
      </c>
      <c r="H368" s="11">
        <v>1</v>
      </c>
      <c r="I368" s="11">
        <v>0</v>
      </c>
      <c r="J368" s="11">
        <v>1</v>
      </c>
      <c r="K368" s="11">
        <v>1</v>
      </c>
      <c r="L368" s="11">
        <v>0</v>
      </c>
      <c r="M368" s="11">
        <v>1</v>
      </c>
      <c r="N368" s="11">
        <v>1</v>
      </c>
      <c r="O368" s="11">
        <v>1</v>
      </c>
      <c r="P368" s="11">
        <v>0</v>
      </c>
      <c r="Q368" s="11">
        <v>1</v>
      </c>
      <c r="R368" s="11">
        <v>1</v>
      </c>
      <c r="S368" s="11">
        <v>1</v>
      </c>
      <c r="T368" s="11">
        <v>1</v>
      </c>
      <c r="U368" s="11">
        <v>0</v>
      </c>
      <c r="V368" s="11">
        <v>1</v>
      </c>
      <c r="W368" s="11">
        <v>1</v>
      </c>
      <c r="X368" s="11">
        <v>0</v>
      </c>
      <c r="Y368" s="11">
        <v>0</v>
      </c>
      <c r="Z368" s="11">
        <v>1</v>
      </c>
      <c r="AA368" s="11">
        <v>1</v>
      </c>
      <c r="AB368" s="11">
        <v>0</v>
      </c>
      <c r="AC368" s="11">
        <v>0</v>
      </c>
      <c r="AD368" s="11">
        <v>0</v>
      </c>
      <c r="AE368" s="11">
        <v>0</v>
      </c>
      <c r="AF368" s="11">
        <v>1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1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5">
        <f t="shared" si="55"/>
        <v>52.515368207202719</v>
      </c>
      <c r="BH368" s="3">
        <f t="shared" si="56"/>
        <v>13.411297159620293</v>
      </c>
      <c r="BI368" s="3">
        <f t="shared" si="57"/>
        <v>41.58870284037971</v>
      </c>
      <c r="BJ368" s="3">
        <f t="shared" si="49"/>
        <v>-1.1317311406643118</v>
      </c>
      <c r="BK368" s="3">
        <f t="shared" si="50"/>
        <v>-0.45609683602320777</v>
      </c>
      <c r="BL368" s="3">
        <f t="shared" si="51"/>
        <v>0.94333424358242735</v>
      </c>
      <c r="BM368" s="3">
        <f t="shared" si="52"/>
        <v>-0.71621941982652926</v>
      </c>
      <c r="BN368" s="3">
        <f t="shared" si="53"/>
        <v>42.83780580173471</v>
      </c>
      <c r="BO368" s="2" t="str">
        <f t="shared" si="54"/>
        <v>NC</v>
      </c>
    </row>
    <row r="369" spans="1:67" x14ac:dyDescent="0.35">
      <c r="A369" s="15">
        <v>368</v>
      </c>
      <c r="B369" s="10" t="s">
        <v>340</v>
      </c>
      <c r="C369" s="11">
        <v>20</v>
      </c>
      <c r="D369" s="11">
        <v>1</v>
      </c>
      <c r="E369" s="11">
        <v>1</v>
      </c>
      <c r="F369" s="11">
        <v>1</v>
      </c>
      <c r="G369" s="11">
        <v>1</v>
      </c>
      <c r="H369" s="11">
        <v>1</v>
      </c>
      <c r="I369" s="11">
        <v>1</v>
      </c>
      <c r="J369" s="11">
        <v>1</v>
      </c>
      <c r="K369" s="11">
        <v>1</v>
      </c>
      <c r="L369" s="11">
        <v>1</v>
      </c>
      <c r="M369" s="11">
        <v>1</v>
      </c>
      <c r="N369" s="11">
        <v>1</v>
      </c>
      <c r="O369" s="11">
        <v>1</v>
      </c>
      <c r="P369" s="11">
        <v>1</v>
      </c>
      <c r="Q369" s="11">
        <v>1</v>
      </c>
      <c r="R369" s="11">
        <v>0</v>
      </c>
      <c r="S369" s="11">
        <v>1</v>
      </c>
      <c r="T369" s="11">
        <v>1</v>
      </c>
      <c r="U369" s="11">
        <v>0</v>
      </c>
      <c r="V369" s="11">
        <v>0</v>
      </c>
      <c r="W369" s="11">
        <v>1</v>
      </c>
      <c r="X369" s="11">
        <v>0</v>
      </c>
      <c r="Y369" s="11">
        <v>0</v>
      </c>
      <c r="Z369" s="11">
        <v>1</v>
      </c>
      <c r="AA369" s="11">
        <v>0</v>
      </c>
      <c r="AB369" s="11">
        <v>0</v>
      </c>
      <c r="AC369" s="11">
        <v>1</v>
      </c>
      <c r="AD369" s="11">
        <v>0</v>
      </c>
      <c r="AE369" s="11">
        <v>0</v>
      </c>
      <c r="AF369" s="11">
        <v>1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5">
        <f t="shared" si="55"/>
        <v>52.229733951977394</v>
      </c>
      <c r="BH369" s="3">
        <f t="shared" si="56"/>
        <v>13.338352305445811</v>
      </c>
      <c r="BI369" s="3">
        <f t="shared" si="57"/>
        <v>41.66164769455419</v>
      </c>
      <c r="BJ369" s="3">
        <f t="shared" si="49"/>
        <v>-1.1389374685232327</v>
      </c>
      <c r="BK369" s="3">
        <f t="shared" si="50"/>
        <v>-0.45609683602320777</v>
      </c>
      <c r="BL369" s="3">
        <f t="shared" si="51"/>
        <v>0.94333424358242735</v>
      </c>
      <c r="BM369" s="3">
        <f t="shared" si="52"/>
        <v>-0.72385862926681632</v>
      </c>
      <c r="BN369" s="3">
        <f t="shared" si="53"/>
        <v>42.76141370733184</v>
      </c>
      <c r="BO369" s="2" t="str">
        <f t="shared" si="54"/>
        <v>NC</v>
      </c>
    </row>
    <row r="370" spans="1:67" x14ac:dyDescent="0.35">
      <c r="A370" s="15">
        <v>369</v>
      </c>
      <c r="B370" s="12">
        <v>2201004</v>
      </c>
      <c r="C370" s="11">
        <v>19</v>
      </c>
      <c r="D370" s="11">
        <v>1</v>
      </c>
      <c r="E370" s="11">
        <v>0</v>
      </c>
      <c r="F370" s="11">
        <v>1</v>
      </c>
      <c r="G370" s="11">
        <v>1</v>
      </c>
      <c r="H370" s="11">
        <v>1</v>
      </c>
      <c r="I370" s="11">
        <v>1</v>
      </c>
      <c r="J370" s="11">
        <v>1</v>
      </c>
      <c r="K370" s="11">
        <v>1</v>
      </c>
      <c r="L370" s="11">
        <v>1</v>
      </c>
      <c r="M370" s="11">
        <v>1</v>
      </c>
      <c r="N370" s="11">
        <v>0</v>
      </c>
      <c r="O370" s="11">
        <v>1</v>
      </c>
      <c r="P370" s="11">
        <v>0</v>
      </c>
      <c r="Q370" s="11">
        <v>1</v>
      </c>
      <c r="R370" s="11">
        <v>1</v>
      </c>
      <c r="S370" s="11">
        <v>1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1</v>
      </c>
      <c r="AA370" s="11">
        <v>0</v>
      </c>
      <c r="AB370" s="11">
        <v>0</v>
      </c>
      <c r="AC370" s="11">
        <v>1</v>
      </c>
      <c r="AD370" s="11">
        <v>0</v>
      </c>
      <c r="AE370" s="11">
        <v>1</v>
      </c>
      <c r="AF370" s="11">
        <v>0</v>
      </c>
      <c r="AG370" s="11">
        <v>0</v>
      </c>
      <c r="AH370" s="11">
        <v>0</v>
      </c>
      <c r="AI370" s="11">
        <v>0</v>
      </c>
      <c r="AJ370" s="11">
        <v>1</v>
      </c>
      <c r="AK370" s="11">
        <v>1</v>
      </c>
      <c r="AL370" s="11">
        <v>1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5">
        <f t="shared" si="55"/>
        <v>52.076706457653117</v>
      </c>
      <c r="BH370" s="3">
        <f t="shared" si="56"/>
        <v>13.299272369990012</v>
      </c>
      <c r="BI370" s="3">
        <f t="shared" si="57"/>
        <v>41.700727630009986</v>
      </c>
      <c r="BJ370" s="3">
        <f t="shared" si="49"/>
        <v>-1.1428092531056244</v>
      </c>
      <c r="BK370" s="3">
        <f t="shared" si="50"/>
        <v>-0.45609683602320777</v>
      </c>
      <c r="BL370" s="3">
        <f t="shared" si="51"/>
        <v>0.94333424358242735</v>
      </c>
      <c r="BM370" s="3">
        <f t="shared" si="52"/>
        <v>-0.727962990588089</v>
      </c>
      <c r="BN370" s="3">
        <f t="shared" si="53"/>
        <v>42.720370094119112</v>
      </c>
      <c r="BO370" s="2" t="str">
        <f t="shared" si="54"/>
        <v>NC</v>
      </c>
    </row>
    <row r="371" spans="1:67" x14ac:dyDescent="0.35">
      <c r="A371" s="1">
        <v>370</v>
      </c>
      <c r="B371" s="10" t="s">
        <v>341</v>
      </c>
      <c r="C371" s="11">
        <v>18</v>
      </c>
      <c r="D371" s="11">
        <v>1</v>
      </c>
      <c r="E371" s="11">
        <v>1</v>
      </c>
      <c r="F371" s="11">
        <v>1</v>
      </c>
      <c r="G371" s="11">
        <v>0</v>
      </c>
      <c r="H371" s="11">
        <v>1</v>
      </c>
      <c r="I371" s="11">
        <v>1</v>
      </c>
      <c r="J371" s="11">
        <v>0</v>
      </c>
      <c r="K371" s="11">
        <v>0</v>
      </c>
      <c r="L371" s="11">
        <v>1</v>
      </c>
      <c r="M371" s="11">
        <v>1</v>
      </c>
      <c r="N371" s="11">
        <v>1</v>
      </c>
      <c r="O371" s="11">
        <v>0</v>
      </c>
      <c r="P371" s="11">
        <v>0</v>
      </c>
      <c r="Q371" s="11">
        <v>1</v>
      </c>
      <c r="R371" s="11">
        <v>1</v>
      </c>
      <c r="S371" s="11">
        <v>1</v>
      </c>
      <c r="T371" s="11">
        <v>1</v>
      </c>
      <c r="U371" s="11">
        <v>0</v>
      </c>
      <c r="V371" s="11">
        <v>0</v>
      </c>
      <c r="W371" s="11">
        <v>1</v>
      </c>
      <c r="X371" s="11">
        <v>0</v>
      </c>
      <c r="Y371" s="11">
        <v>1</v>
      </c>
      <c r="Z371" s="11">
        <v>1</v>
      </c>
      <c r="AA371" s="11">
        <v>0</v>
      </c>
      <c r="AB371" s="11">
        <v>0</v>
      </c>
      <c r="AC371" s="11">
        <v>0</v>
      </c>
      <c r="AD371" s="11">
        <v>0</v>
      </c>
      <c r="AE371" s="11">
        <v>1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1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1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5">
        <f t="shared" si="55"/>
        <v>52.001458662339637</v>
      </c>
      <c r="BH371" s="3">
        <f t="shared" si="56"/>
        <v>13.28005569917522</v>
      </c>
      <c r="BI371" s="3">
        <f t="shared" si="57"/>
        <v>41.719944300824778</v>
      </c>
      <c r="BJ371" s="3">
        <f t="shared" si="49"/>
        <v>-1.1447159568058729</v>
      </c>
      <c r="BK371" s="3">
        <f t="shared" si="50"/>
        <v>-0.45609683602320777</v>
      </c>
      <c r="BL371" s="3">
        <f t="shared" si="51"/>
        <v>0.94333424358242735</v>
      </c>
      <c r="BM371" s="3">
        <f t="shared" si="52"/>
        <v>-0.7299842293093799</v>
      </c>
      <c r="BN371" s="3">
        <f t="shared" si="53"/>
        <v>42.700157706906204</v>
      </c>
      <c r="BO371" s="2" t="str">
        <f t="shared" si="54"/>
        <v>NC</v>
      </c>
    </row>
    <row r="372" spans="1:67" x14ac:dyDescent="0.35">
      <c r="A372" s="15">
        <v>371</v>
      </c>
      <c r="B372" s="10" t="s">
        <v>342</v>
      </c>
      <c r="C372" s="11">
        <v>18</v>
      </c>
      <c r="D372" s="11">
        <v>1</v>
      </c>
      <c r="E372" s="11">
        <v>1</v>
      </c>
      <c r="F372" s="11">
        <v>1</v>
      </c>
      <c r="G372" s="11">
        <v>1</v>
      </c>
      <c r="H372" s="11">
        <v>1</v>
      </c>
      <c r="I372" s="11">
        <v>0</v>
      </c>
      <c r="J372" s="11">
        <v>0</v>
      </c>
      <c r="K372" s="11">
        <v>1</v>
      </c>
      <c r="L372" s="11">
        <v>1</v>
      </c>
      <c r="M372" s="11">
        <v>1</v>
      </c>
      <c r="N372" s="11">
        <v>1</v>
      </c>
      <c r="O372" s="11">
        <v>1</v>
      </c>
      <c r="P372" s="11">
        <v>0</v>
      </c>
      <c r="Q372" s="11">
        <v>1</v>
      </c>
      <c r="R372" s="11">
        <v>0</v>
      </c>
      <c r="S372" s="11">
        <v>0</v>
      </c>
      <c r="T372" s="11">
        <v>1</v>
      </c>
      <c r="U372" s="11">
        <v>0</v>
      </c>
      <c r="V372" s="11">
        <v>0</v>
      </c>
      <c r="W372" s="11">
        <v>0</v>
      </c>
      <c r="X372" s="11">
        <v>1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1</v>
      </c>
      <c r="AG372" s="11">
        <v>0</v>
      </c>
      <c r="AH372" s="11">
        <v>1</v>
      </c>
      <c r="AI372" s="11">
        <v>0</v>
      </c>
      <c r="AJ372" s="11">
        <v>0</v>
      </c>
      <c r="AK372" s="11">
        <v>0</v>
      </c>
      <c r="AL372" s="11">
        <v>0</v>
      </c>
      <c r="AM372" s="11">
        <v>1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1</v>
      </c>
      <c r="AX372" s="11">
        <v>0</v>
      </c>
      <c r="AY372" s="11">
        <v>0</v>
      </c>
      <c r="AZ372" s="11">
        <v>0</v>
      </c>
      <c r="BA372" s="11">
        <v>1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5">
        <f t="shared" si="55"/>
        <v>51.671077644109879</v>
      </c>
      <c r="BH372" s="3">
        <f t="shared" si="56"/>
        <v>13.195683482762396</v>
      </c>
      <c r="BI372" s="3">
        <f t="shared" si="57"/>
        <v>41.804316517237602</v>
      </c>
      <c r="BJ372" s="3">
        <f t="shared" si="49"/>
        <v>-1.153109832930145</v>
      </c>
      <c r="BK372" s="3">
        <f t="shared" si="50"/>
        <v>-0.45609683602320777</v>
      </c>
      <c r="BL372" s="3">
        <f t="shared" si="51"/>
        <v>0.94333424358242735</v>
      </c>
      <c r="BM372" s="3">
        <f t="shared" si="52"/>
        <v>-0.73888232262187892</v>
      </c>
      <c r="BN372" s="3">
        <f t="shared" si="53"/>
        <v>42.61117677378121</v>
      </c>
      <c r="BO372" s="2" t="str">
        <f t="shared" si="54"/>
        <v>NC</v>
      </c>
    </row>
    <row r="373" spans="1:67" x14ac:dyDescent="0.35">
      <c r="A373" s="15">
        <v>372</v>
      </c>
      <c r="B373" s="10" t="s">
        <v>343</v>
      </c>
      <c r="C373" s="11">
        <v>17</v>
      </c>
      <c r="D373" s="11">
        <v>1</v>
      </c>
      <c r="E373" s="11">
        <v>1</v>
      </c>
      <c r="F373" s="11">
        <v>1</v>
      </c>
      <c r="G373" s="11">
        <v>0</v>
      </c>
      <c r="H373" s="11">
        <v>0</v>
      </c>
      <c r="I373" s="11">
        <v>1</v>
      </c>
      <c r="J373" s="11">
        <v>0</v>
      </c>
      <c r="K373" s="11">
        <v>1</v>
      </c>
      <c r="L373" s="11">
        <v>0</v>
      </c>
      <c r="M373" s="11">
        <v>1</v>
      </c>
      <c r="N373" s="11">
        <v>1</v>
      </c>
      <c r="O373" s="11">
        <v>0</v>
      </c>
      <c r="P373" s="11">
        <v>0</v>
      </c>
      <c r="Q373" s="11">
        <v>1</v>
      </c>
      <c r="R373" s="11">
        <v>0</v>
      </c>
      <c r="S373" s="11">
        <v>0</v>
      </c>
      <c r="T373" s="11">
        <v>1</v>
      </c>
      <c r="U373" s="11">
        <v>1</v>
      </c>
      <c r="V373" s="11">
        <v>0</v>
      </c>
      <c r="W373" s="11">
        <v>0</v>
      </c>
      <c r="X373" s="11">
        <v>0</v>
      </c>
      <c r="Y373" s="11">
        <v>1</v>
      </c>
      <c r="Z373" s="11">
        <v>1</v>
      </c>
      <c r="AA373" s="11">
        <v>0</v>
      </c>
      <c r="AB373" s="11">
        <v>0</v>
      </c>
      <c r="AC373" s="11">
        <v>0</v>
      </c>
      <c r="AD373" s="11">
        <v>1</v>
      </c>
      <c r="AE373" s="11">
        <v>0</v>
      </c>
      <c r="AF373" s="11">
        <v>0</v>
      </c>
      <c r="AG373" s="11">
        <v>0</v>
      </c>
      <c r="AH373" s="11">
        <v>1</v>
      </c>
      <c r="AI373" s="11">
        <v>0</v>
      </c>
      <c r="AJ373" s="11">
        <v>0</v>
      </c>
      <c r="AK373" s="11">
        <v>1</v>
      </c>
      <c r="AL373" s="11">
        <v>1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1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5">
        <f t="shared" si="55"/>
        <v>51.567454366274994</v>
      </c>
      <c r="BH373" s="3">
        <f t="shared" si="56"/>
        <v>13.169220323136166</v>
      </c>
      <c r="BI373" s="3">
        <f t="shared" si="57"/>
        <v>41.830779676863834</v>
      </c>
      <c r="BJ373" s="3">
        <f t="shared" si="49"/>
        <v>-1.1557501114335595</v>
      </c>
      <c r="BK373" s="3">
        <f t="shared" si="50"/>
        <v>-0.45609683602320777</v>
      </c>
      <c r="BL373" s="3">
        <f t="shared" si="51"/>
        <v>0.94333424358242735</v>
      </c>
      <c r="BM373" s="3">
        <f t="shared" si="52"/>
        <v>-0.74168120172690088</v>
      </c>
      <c r="BN373" s="3">
        <f t="shared" si="53"/>
        <v>42.58318798273099</v>
      </c>
      <c r="BO373" s="2" t="str">
        <f t="shared" si="54"/>
        <v>NC</v>
      </c>
    </row>
    <row r="374" spans="1:67" x14ac:dyDescent="0.35">
      <c r="A374" s="1">
        <v>373</v>
      </c>
      <c r="B374" s="10" t="s">
        <v>344</v>
      </c>
      <c r="C374" s="11">
        <v>19</v>
      </c>
      <c r="D374" s="11">
        <v>1</v>
      </c>
      <c r="E374" s="11">
        <v>1</v>
      </c>
      <c r="F374" s="11">
        <v>1</v>
      </c>
      <c r="G374" s="11">
        <v>1</v>
      </c>
      <c r="H374" s="11">
        <v>1</v>
      </c>
      <c r="I374" s="11">
        <v>1</v>
      </c>
      <c r="J374" s="11">
        <v>1</v>
      </c>
      <c r="K374" s="11">
        <v>1</v>
      </c>
      <c r="L374" s="11">
        <v>1</v>
      </c>
      <c r="M374" s="11">
        <v>1</v>
      </c>
      <c r="N374" s="11">
        <v>1</v>
      </c>
      <c r="O374" s="11">
        <v>1</v>
      </c>
      <c r="P374" s="11">
        <v>0</v>
      </c>
      <c r="Q374" s="11">
        <v>1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1</v>
      </c>
      <c r="Z374" s="11">
        <v>0</v>
      </c>
      <c r="AA374" s="11">
        <v>0</v>
      </c>
      <c r="AB374" s="11">
        <v>0</v>
      </c>
      <c r="AC374" s="11">
        <v>1</v>
      </c>
      <c r="AD374" s="11">
        <v>1</v>
      </c>
      <c r="AE374" s="11">
        <v>1</v>
      </c>
      <c r="AF374" s="11">
        <v>1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1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5">
        <f t="shared" si="55"/>
        <v>51.356279433183254</v>
      </c>
      <c r="BH374" s="3">
        <f t="shared" si="56"/>
        <v>13.115290780660485</v>
      </c>
      <c r="BI374" s="3">
        <f t="shared" si="57"/>
        <v>41.884709219339513</v>
      </c>
      <c r="BJ374" s="3">
        <f t="shared" si="49"/>
        <v>-1.1611420405410833</v>
      </c>
      <c r="BK374" s="3">
        <f t="shared" si="50"/>
        <v>-0.45609683602320777</v>
      </c>
      <c r="BL374" s="3">
        <f t="shared" si="51"/>
        <v>0.94333424358242735</v>
      </c>
      <c r="BM374" s="3">
        <f t="shared" si="52"/>
        <v>-0.74739702212057935</v>
      </c>
      <c r="BN374" s="3">
        <f t="shared" si="53"/>
        <v>42.526029778794204</v>
      </c>
      <c r="BO374" s="2" t="str">
        <f t="shared" si="54"/>
        <v>NC</v>
      </c>
    </row>
    <row r="375" spans="1:67" x14ac:dyDescent="0.35">
      <c r="A375" s="15">
        <v>374</v>
      </c>
      <c r="B375" s="10" t="s">
        <v>345</v>
      </c>
      <c r="C375" s="11">
        <v>18</v>
      </c>
      <c r="D375" s="11">
        <v>0</v>
      </c>
      <c r="E375" s="11">
        <v>1</v>
      </c>
      <c r="F375" s="11">
        <v>0</v>
      </c>
      <c r="G375" s="11">
        <v>1</v>
      </c>
      <c r="H375" s="11">
        <v>1</v>
      </c>
      <c r="I375" s="11">
        <v>0</v>
      </c>
      <c r="J375" s="11">
        <v>1</v>
      </c>
      <c r="K375" s="11">
        <v>1</v>
      </c>
      <c r="L375" s="11">
        <v>1</v>
      </c>
      <c r="M375" s="11">
        <v>1</v>
      </c>
      <c r="N375" s="11">
        <v>0</v>
      </c>
      <c r="O375" s="11">
        <v>1</v>
      </c>
      <c r="P375" s="11">
        <v>1</v>
      </c>
      <c r="Q375" s="11">
        <v>1</v>
      </c>
      <c r="R375" s="11">
        <v>0</v>
      </c>
      <c r="S375" s="11">
        <v>1</v>
      </c>
      <c r="T375" s="11">
        <v>0</v>
      </c>
      <c r="U375" s="11">
        <v>1</v>
      </c>
      <c r="V375" s="11">
        <v>1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1</v>
      </c>
      <c r="AC375" s="11">
        <v>1</v>
      </c>
      <c r="AD375" s="11">
        <v>0</v>
      </c>
      <c r="AE375" s="11">
        <v>1</v>
      </c>
      <c r="AF375" s="11">
        <v>0</v>
      </c>
      <c r="AG375" s="11">
        <v>0</v>
      </c>
      <c r="AH375" s="11">
        <v>1</v>
      </c>
      <c r="AI375" s="11">
        <v>1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5">
        <f t="shared" si="55"/>
        <v>51.309544823702183</v>
      </c>
      <c r="BH375" s="3">
        <f t="shared" si="56"/>
        <v>13.10335576512529</v>
      </c>
      <c r="BI375" s="3">
        <f t="shared" si="57"/>
        <v>41.896644234874714</v>
      </c>
      <c r="BJ375" s="3">
        <f t="shared" si="49"/>
        <v>-1.1623373711818128</v>
      </c>
      <c r="BK375" s="3">
        <f t="shared" si="50"/>
        <v>-0.45609683602320777</v>
      </c>
      <c r="BL375" s="3">
        <f t="shared" si="51"/>
        <v>0.94333424358242735</v>
      </c>
      <c r="BM375" s="3">
        <f t="shared" si="52"/>
        <v>-0.74866415585272306</v>
      </c>
      <c r="BN375" s="3">
        <f t="shared" si="53"/>
        <v>42.513358441472768</v>
      </c>
      <c r="BO375" s="2" t="str">
        <f t="shared" si="54"/>
        <v>NC</v>
      </c>
    </row>
    <row r="376" spans="1:67" x14ac:dyDescent="0.35">
      <c r="A376" s="15">
        <v>375</v>
      </c>
      <c r="B376" s="10" t="s">
        <v>346</v>
      </c>
      <c r="C376" s="11">
        <v>16</v>
      </c>
      <c r="D376" s="11">
        <v>1</v>
      </c>
      <c r="E376" s="11">
        <v>0</v>
      </c>
      <c r="F376" s="11">
        <v>1</v>
      </c>
      <c r="G376" s="11">
        <v>1</v>
      </c>
      <c r="H376" s="11">
        <v>0</v>
      </c>
      <c r="I376" s="11">
        <v>0</v>
      </c>
      <c r="J376" s="11">
        <v>1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1</v>
      </c>
      <c r="R376" s="11">
        <v>1</v>
      </c>
      <c r="S376" s="11">
        <v>0</v>
      </c>
      <c r="T376" s="11">
        <v>0</v>
      </c>
      <c r="U376" s="11">
        <v>1</v>
      </c>
      <c r="V376" s="11">
        <v>1</v>
      </c>
      <c r="W376" s="11">
        <v>0</v>
      </c>
      <c r="X376" s="11">
        <v>1</v>
      </c>
      <c r="Y376" s="11">
        <v>1</v>
      </c>
      <c r="Z376" s="11">
        <v>0</v>
      </c>
      <c r="AA376" s="11">
        <v>0</v>
      </c>
      <c r="AB376" s="11">
        <v>1</v>
      </c>
      <c r="AC376" s="11">
        <v>1</v>
      </c>
      <c r="AD376" s="11">
        <v>0</v>
      </c>
      <c r="AE376" s="11">
        <v>0</v>
      </c>
      <c r="AF376" s="11">
        <v>0</v>
      </c>
      <c r="AG376" s="11">
        <v>1</v>
      </c>
      <c r="AH376" s="11">
        <v>0</v>
      </c>
      <c r="AI376" s="11">
        <v>0</v>
      </c>
      <c r="AJ376" s="11">
        <v>1</v>
      </c>
      <c r="AK376" s="11">
        <v>0</v>
      </c>
      <c r="AL376" s="11">
        <v>1</v>
      </c>
      <c r="AM376" s="11">
        <v>1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5">
        <f t="shared" si="55"/>
        <v>51.285406561615247</v>
      </c>
      <c r="BH376" s="3">
        <f t="shared" si="56"/>
        <v>13.097191371409389</v>
      </c>
      <c r="BI376" s="3">
        <f t="shared" si="57"/>
        <v>41.902808628590613</v>
      </c>
      <c r="BJ376" s="3">
        <f t="shared" si="49"/>
        <v>-1.1629550482989013</v>
      </c>
      <c r="BK376" s="3">
        <f t="shared" si="50"/>
        <v>-0.45609683602320777</v>
      </c>
      <c r="BL376" s="3">
        <f t="shared" si="51"/>
        <v>0.94333424358242735</v>
      </c>
      <c r="BM376" s="3">
        <f t="shared" si="52"/>
        <v>-0.74931893661711335</v>
      </c>
      <c r="BN376" s="3">
        <f t="shared" si="53"/>
        <v>42.506810633828863</v>
      </c>
      <c r="BO376" s="2" t="str">
        <f t="shared" si="54"/>
        <v>NC</v>
      </c>
    </row>
    <row r="377" spans="1:67" x14ac:dyDescent="0.35">
      <c r="A377" s="1">
        <v>376</v>
      </c>
      <c r="B377" s="13">
        <v>64679</v>
      </c>
      <c r="C377" s="11">
        <v>18</v>
      </c>
      <c r="D377" s="11">
        <v>1</v>
      </c>
      <c r="E377" s="11">
        <v>1</v>
      </c>
      <c r="F377" s="11">
        <v>1</v>
      </c>
      <c r="G377" s="11">
        <v>0</v>
      </c>
      <c r="H377" s="11">
        <v>1</v>
      </c>
      <c r="I377" s="11">
        <v>1</v>
      </c>
      <c r="J377" s="11">
        <v>0</v>
      </c>
      <c r="K377" s="11">
        <v>1</v>
      </c>
      <c r="L377" s="11">
        <v>0</v>
      </c>
      <c r="M377" s="11">
        <v>1</v>
      </c>
      <c r="N377" s="11">
        <v>1</v>
      </c>
      <c r="O377" s="11">
        <v>1</v>
      </c>
      <c r="P377" s="11">
        <v>0</v>
      </c>
      <c r="Q377" s="11">
        <v>1</v>
      </c>
      <c r="R377" s="11">
        <v>1</v>
      </c>
      <c r="S377" s="11">
        <v>0</v>
      </c>
      <c r="T377" s="11">
        <v>1</v>
      </c>
      <c r="U377" s="11">
        <v>0</v>
      </c>
      <c r="V377" s="11">
        <v>1</v>
      </c>
      <c r="W377" s="11">
        <v>1</v>
      </c>
      <c r="X377" s="11">
        <v>0</v>
      </c>
      <c r="Y377" s="11">
        <v>1</v>
      </c>
      <c r="Z377" s="11">
        <v>1</v>
      </c>
      <c r="AA377" s="11">
        <v>0</v>
      </c>
      <c r="AB377" s="11">
        <v>0</v>
      </c>
      <c r="AC377" s="11">
        <v>0</v>
      </c>
      <c r="AD377" s="11">
        <v>1</v>
      </c>
      <c r="AE377" s="11">
        <v>0</v>
      </c>
      <c r="AF377" s="11">
        <v>0</v>
      </c>
      <c r="AG377" s="11">
        <v>1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0</v>
      </c>
      <c r="AU377" s="11">
        <v>0</v>
      </c>
      <c r="AV377" s="11">
        <v>0</v>
      </c>
      <c r="AW377" s="11">
        <v>0</v>
      </c>
      <c r="AX377" s="11">
        <v>0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5">
        <f t="shared" si="55"/>
        <v>50.749326545460065</v>
      </c>
      <c r="BH377" s="3">
        <f t="shared" si="56"/>
        <v>12.960288048754878</v>
      </c>
      <c r="BI377" s="3">
        <f t="shared" si="57"/>
        <v>42.039711951245124</v>
      </c>
      <c r="BJ377" s="3">
        <f t="shared" si="49"/>
        <v>-1.1767247775457845</v>
      </c>
      <c r="BK377" s="3">
        <f t="shared" si="50"/>
        <v>-0.45609683602320777</v>
      </c>
      <c r="BL377" s="3">
        <f t="shared" si="51"/>
        <v>0.94333424358242735</v>
      </c>
      <c r="BM377" s="3">
        <f t="shared" si="52"/>
        <v>-0.7639158086596155</v>
      </c>
      <c r="BN377" s="3">
        <f t="shared" si="53"/>
        <v>42.360841913403846</v>
      </c>
      <c r="BO377" s="2" t="str">
        <f t="shared" si="54"/>
        <v>NC</v>
      </c>
    </row>
    <row r="378" spans="1:67" x14ac:dyDescent="0.35">
      <c r="A378" s="15">
        <v>377</v>
      </c>
      <c r="B378" s="12">
        <v>2345678</v>
      </c>
      <c r="C378" s="11">
        <v>19</v>
      </c>
      <c r="D378" s="11">
        <v>0</v>
      </c>
      <c r="E378" s="11">
        <v>1</v>
      </c>
      <c r="F378" s="11">
        <v>1</v>
      </c>
      <c r="G378" s="11">
        <v>1</v>
      </c>
      <c r="H378" s="11">
        <v>1</v>
      </c>
      <c r="I378" s="11">
        <v>1</v>
      </c>
      <c r="J378" s="11">
        <v>1</v>
      </c>
      <c r="K378" s="11">
        <v>1</v>
      </c>
      <c r="L378" s="11">
        <v>1</v>
      </c>
      <c r="M378" s="11">
        <v>1</v>
      </c>
      <c r="N378" s="11">
        <v>1</v>
      </c>
      <c r="O378" s="11">
        <v>1</v>
      </c>
      <c r="P378" s="11">
        <v>0</v>
      </c>
      <c r="Q378" s="11">
        <v>1</v>
      </c>
      <c r="R378" s="11">
        <v>0</v>
      </c>
      <c r="S378" s="11">
        <v>0</v>
      </c>
      <c r="T378" s="11">
        <v>0</v>
      </c>
      <c r="U378" s="11">
        <v>1</v>
      </c>
      <c r="V378" s="11">
        <v>1</v>
      </c>
      <c r="W378" s="11">
        <v>0</v>
      </c>
      <c r="X378" s="11">
        <v>1</v>
      </c>
      <c r="Y378" s="11">
        <v>1</v>
      </c>
      <c r="Z378" s="11">
        <v>1</v>
      </c>
      <c r="AA378" s="11">
        <v>0</v>
      </c>
      <c r="AB378" s="11">
        <v>0</v>
      </c>
      <c r="AC378" s="11">
        <v>1</v>
      </c>
      <c r="AD378" s="11">
        <v>0</v>
      </c>
      <c r="AE378" s="11">
        <v>0</v>
      </c>
      <c r="AF378" s="11">
        <v>0</v>
      </c>
      <c r="AG378" s="11">
        <v>1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5">
        <f t="shared" si="55"/>
        <v>50.639242657095579</v>
      </c>
      <c r="BH378" s="3">
        <f t="shared" si="56"/>
        <v>12.932174987954896</v>
      </c>
      <c r="BI378" s="3">
        <f t="shared" si="57"/>
        <v>42.067825012045105</v>
      </c>
      <c r="BJ378" s="3">
        <f t="shared" si="49"/>
        <v>-1.1795648058407762</v>
      </c>
      <c r="BK378" s="3">
        <f t="shared" si="50"/>
        <v>-0.45609683602320777</v>
      </c>
      <c r="BL378" s="3">
        <f t="shared" si="51"/>
        <v>0.94333424358242735</v>
      </c>
      <c r="BM378" s="3">
        <f t="shared" si="52"/>
        <v>-0.76692643645597991</v>
      </c>
      <c r="BN378" s="3">
        <f t="shared" si="53"/>
        <v>42.330735635440199</v>
      </c>
      <c r="BO378" s="2" t="str">
        <f t="shared" si="54"/>
        <v>NC</v>
      </c>
    </row>
    <row r="379" spans="1:67" x14ac:dyDescent="0.35">
      <c r="A379" s="15">
        <v>378</v>
      </c>
      <c r="B379" s="10" t="s">
        <v>347</v>
      </c>
      <c r="C379" s="11">
        <v>18</v>
      </c>
      <c r="D379" s="11">
        <v>0</v>
      </c>
      <c r="E379" s="11">
        <v>1</v>
      </c>
      <c r="F379" s="11">
        <v>0</v>
      </c>
      <c r="G379" s="11">
        <v>1</v>
      </c>
      <c r="H379" s="11">
        <v>1</v>
      </c>
      <c r="I379" s="11">
        <v>1</v>
      </c>
      <c r="J379" s="11">
        <v>1</v>
      </c>
      <c r="K379" s="11">
        <v>1</v>
      </c>
      <c r="L379" s="11">
        <v>1</v>
      </c>
      <c r="M379" s="11">
        <v>1</v>
      </c>
      <c r="N379" s="11">
        <v>1</v>
      </c>
      <c r="O379" s="11">
        <v>0</v>
      </c>
      <c r="P379" s="11">
        <v>0</v>
      </c>
      <c r="Q379" s="11">
        <v>1</v>
      </c>
      <c r="R379" s="11">
        <v>0</v>
      </c>
      <c r="S379" s="11">
        <v>1</v>
      </c>
      <c r="T379" s="11">
        <v>1</v>
      </c>
      <c r="U379" s="11">
        <v>0</v>
      </c>
      <c r="V379" s="11">
        <v>1</v>
      </c>
      <c r="W379" s="11">
        <v>0</v>
      </c>
      <c r="X379" s="11">
        <v>1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1</v>
      </c>
      <c r="AE379" s="11">
        <v>0</v>
      </c>
      <c r="AF379" s="11">
        <v>1</v>
      </c>
      <c r="AG379" s="11">
        <v>0</v>
      </c>
      <c r="AH379" s="11">
        <v>0</v>
      </c>
      <c r="AI379" s="11">
        <v>0</v>
      </c>
      <c r="AJ379" s="11">
        <v>0</v>
      </c>
      <c r="AK379" s="11">
        <v>1</v>
      </c>
      <c r="AL379" s="11">
        <v>1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0</v>
      </c>
      <c r="AU379" s="11">
        <v>0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0</v>
      </c>
      <c r="BF379" s="11">
        <v>0</v>
      </c>
      <c r="BG379" s="5">
        <f t="shared" si="55"/>
        <v>50.310443411419541</v>
      </c>
      <c r="BH379" s="3">
        <f t="shared" si="56"/>
        <v>12.848206722280324</v>
      </c>
      <c r="BI379" s="3">
        <f t="shared" si="57"/>
        <v>42.151793277719676</v>
      </c>
      <c r="BJ379" s="3">
        <f t="shared" si="49"/>
        <v>-1.1880729817682636</v>
      </c>
      <c r="BK379" s="3">
        <f t="shared" si="50"/>
        <v>-0.45609683602320777</v>
      </c>
      <c r="BL379" s="3">
        <f t="shared" si="51"/>
        <v>0.94333424358242735</v>
      </c>
      <c r="BM379" s="3">
        <f t="shared" si="52"/>
        <v>-0.77594569552069548</v>
      </c>
      <c r="BN379" s="3">
        <f t="shared" si="53"/>
        <v>42.240543044793043</v>
      </c>
      <c r="BO379" s="2" t="str">
        <f t="shared" si="54"/>
        <v>NC</v>
      </c>
    </row>
    <row r="380" spans="1:67" x14ac:dyDescent="0.35">
      <c r="A380" s="1">
        <v>379</v>
      </c>
      <c r="B380" s="10" t="s">
        <v>348</v>
      </c>
      <c r="C380" s="11">
        <v>18</v>
      </c>
      <c r="D380" s="11">
        <v>0</v>
      </c>
      <c r="E380" s="11">
        <v>0</v>
      </c>
      <c r="F380" s="11">
        <v>1</v>
      </c>
      <c r="G380" s="11">
        <v>1</v>
      </c>
      <c r="H380" s="11">
        <v>1</v>
      </c>
      <c r="I380" s="11">
        <v>1</v>
      </c>
      <c r="J380" s="11">
        <v>1</v>
      </c>
      <c r="K380" s="11">
        <v>1</v>
      </c>
      <c r="L380" s="11">
        <v>0</v>
      </c>
      <c r="M380" s="11">
        <v>1</v>
      </c>
      <c r="N380" s="11">
        <v>1</v>
      </c>
      <c r="O380" s="11">
        <v>1</v>
      </c>
      <c r="P380" s="11">
        <v>0</v>
      </c>
      <c r="Q380" s="11">
        <v>1</v>
      </c>
      <c r="R380" s="11">
        <v>0</v>
      </c>
      <c r="S380" s="11">
        <v>0</v>
      </c>
      <c r="T380" s="11">
        <v>0</v>
      </c>
      <c r="U380" s="11">
        <v>0</v>
      </c>
      <c r="V380" s="11">
        <v>1</v>
      </c>
      <c r="W380" s="11">
        <v>0</v>
      </c>
      <c r="X380" s="11">
        <v>1</v>
      </c>
      <c r="Y380" s="11">
        <v>1</v>
      </c>
      <c r="Z380" s="11">
        <v>1</v>
      </c>
      <c r="AA380" s="11">
        <v>0</v>
      </c>
      <c r="AB380" s="11">
        <v>0</v>
      </c>
      <c r="AC380" s="11">
        <v>1</v>
      </c>
      <c r="AD380" s="11">
        <v>0</v>
      </c>
      <c r="AE380" s="11">
        <v>0</v>
      </c>
      <c r="AF380" s="11">
        <v>1</v>
      </c>
      <c r="AG380" s="11">
        <v>0</v>
      </c>
      <c r="AH380" s="11">
        <v>1</v>
      </c>
      <c r="AI380" s="11">
        <v>0</v>
      </c>
      <c r="AJ380" s="11">
        <v>0</v>
      </c>
      <c r="AK380" s="11">
        <v>0</v>
      </c>
      <c r="AL380" s="11">
        <v>0</v>
      </c>
      <c r="AM380" s="11">
        <v>1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  <c r="AX380" s="11">
        <v>0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5">
        <f t="shared" si="55"/>
        <v>49.989955094550581</v>
      </c>
      <c r="BH380" s="3">
        <f t="shared" si="56"/>
        <v>12.766360889328006</v>
      </c>
      <c r="BI380" s="3">
        <f t="shared" si="57"/>
        <v>42.233639110671994</v>
      </c>
      <c r="BJ380" s="3">
        <f t="shared" si="49"/>
        <v>-1.1964033828182397</v>
      </c>
      <c r="BK380" s="3">
        <f t="shared" si="50"/>
        <v>-0.45609683602320777</v>
      </c>
      <c r="BL380" s="3">
        <f t="shared" si="51"/>
        <v>0.94333424358242735</v>
      </c>
      <c r="BM380" s="3">
        <f t="shared" si="52"/>
        <v>-0.78477650083349781</v>
      </c>
      <c r="BN380" s="3">
        <f t="shared" si="53"/>
        <v>42.152234991665026</v>
      </c>
      <c r="BO380" s="2" t="str">
        <f t="shared" si="54"/>
        <v>NC</v>
      </c>
    </row>
    <row r="381" spans="1:67" x14ac:dyDescent="0.35">
      <c r="A381" s="15">
        <v>380</v>
      </c>
      <c r="B381" s="10" t="s">
        <v>349</v>
      </c>
      <c r="C381" s="11">
        <v>18</v>
      </c>
      <c r="D381" s="11">
        <v>1</v>
      </c>
      <c r="E381" s="11">
        <v>0</v>
      </c>
      <c r="F381" s="11">
        <v>1</v>
      </c>
      <c r="G381" s="11">
        <v>1</v>
      </c>
      <c r="H381" s="11">
        <v>1</v>
      </c>
      <c r="I381" s="11">
        <v>1</v>
      </c>
      <c r="J381" s="11">
        <v>1</v>
      </c>
      <c r="K381" s="11">
        <v>1</v>
      </c>
      <c r="L381" s="11">
        <v>0</v>
      </c>
      <c r="M381" s="11">
        <v>1</v>
      </c>
      <c r="N381" s="11">
        <v>1</v>
      </c>
      <c r="O381" s="11">
        <v>1</v>
      </c>
      <c r="P381" s="11">
        <v>0</v>
      </c>
      <c r="Q381" s="11">
        <v>1</v>
      </c>
      <c r="R381" s="11">
        <v>1</v>
      </c>
      <c r="S381" s="11">
        <v>0</v>
      </c>
      <c r="T381" s="11">
        <v>1</v>
      </c>
      <c r="U381" s="11">
        <v>0</v>
      </c>
      <c r="V381" s="11">
        <v>0</v>
      </c>
      <c r="W381" s="11">
        <v>1</v>
      </c>
      <c r="X381" s="11">
        <v>0</v>
      </c>
      <c r="Y381" s="11">
        <v>1</v>
      </c>
      <c r="Z381" s="11">
        <v>1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1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1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5">
        <f t="shared" si="55"/>
        <v>49.863177217340606</v>
      </c>
      <c r="BH381" s="3">
        <f t="shared" si="56"/>
        <v>12.733984542316206</v>
      </c>
      <c r="BI381" s="3">
        <f t="shared" si="57"/>
        <v>42.266015457683793</v>
      </c>
      <c r="BJ381" s="3">
        <f t="shared" si="49"/>
        <v>-1.1997089783603061</v>
      </c>
      <c r="BK381" s="3">
        <f t="shared" si="50"/>
        <v>-0.45609683602320777</v>
      </c>
      <c r="BL381" s="3">
        <f t="shared" si="51"/>
        <v>0.94333424358242735</v>
      </c>
      <c r="BM381" s="3">
        <f t="shared" si="52"/>
        <v>-0.7882806623378158</v>
      </c>
      <c r="BN381" s="3">
        <f t="shared" si="53"/>
        <v>42.117193376621842</v>
      </c>
      <c r="BO381" s="2" t="str">
        <f t="shared" si="54"/>
        <v>NC</v>
      </c>
    </row>
    <row r="382" spans="1:67" x14ac:dyDescent="0.35">
      <c r="A382" s="15">
        <v>381</v>
      </c>
      <c r="B382" s="10" t="s">
        <v>350</v>
      </c>
      <c r="C382" s="11">
        <v>17</v>
      </c>
      <c r="D382" s="11">
        <v>1</v>
      </c>
      <c r="E382" s="11">
        <v>1</v>
      </c>
      <c r="F382" s="11">
        <v>1</v>
      </c>
      <c r="G382" s="11">
        <v>1</v>
      </c>
      <c r="H382" s="11">
        <v>1</v>
      </c>
      <c r="I382" s="11">
        <v>0</v>
      </c>
      <c r="J382" s="11">
        <v>1</v>
      </c>
      <c r="K382" s="11">
        <v>0</v>
      </c>
      <c r="L382" s="11">
        <v>1</v>
      </c>
      <c r="M382" s="11">
        <v>0</v>
      </c>
      <c r="N382" s="11">
        <v>0</v>
      </c>
      <c r="O382" s="11">
        <v>1</v>
      </c>
      <c r="P382" s="11">
        <v>1</v>
      </c>
      <c r="Q382" s="11">
        <v>1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1</v>
      </c>
      <c r="X382" s="11">
        <v>0</v>
      </c>
      <c r="Y382" s="11">
        <v>0</v>
      </c>
      <c r="Z382" s="11">
        <v>0</v>
      </c>
      <c r="AA382" s="11">
        <v>1</v>
      </c>
      <c r="AB382" s="11">
        <v>0</v>
      </c>
      <c r="AC382" s="11">
        <v>1</v>
      </c>
      <c r="AD382" s="11">
        <v>0</v>
      </c>
      <c r="AE382" s="11">
        <v>0</v>
      </c>
      <c r="AF382" s="11">
        <v>1</v>
      </c>
      <c r="AG382" s="11">
        <v>0</v>
      </c>
      <c r="AH382" s="11">
        <v>1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1</v>
      </c>
      <c r="AS382" s="11">
        <v>0</v>
      </c>
      <c r="AT382" s="11">
        <v>1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5">
        <f t="shared" si="55"/>
        <v>49.691848861272859</v>
      </c>
      <c r="BH382" s="3">
        <f t="shared" si="56"/>
        <v>12.690230959821498</v>
      </c>
      <c r="BI382" s="3">
        <f t="shared" si="57"/>
        <v>42.309769040178502</v>
      </c>
      <c r="BJ382" s="3">
        <f t="shared" si="49"/>
        <v>-1.204185524260287</v>
      </c>
      <c r="BK382" s="3">
        <f t="shared" si="50"/>
        <v>-0.45609683602320777</v>
      </c>
      <c r="BL382" s="3">
        <f t="shared" si="51"/>
        <v>0.94333424358242735</v>
      </c>
      <c r="BM382" s="3">
        <f t="shared" si="52"/>
        <v>-0.79302611277644364</v>
      </c>
      <c r="BN382" s="3">
        <f t="shared" si="53"/>
        <v>42.069738872235561</v>
      </c>
      <c r="BO382" s="2" t="str">
        <f t="shared" si="54"/>
        <v>NC</v>
      </c>
    </row>
    <row r="383" spans="1:67" x14ac:dyDescent="0.35">
      <c r="A383" s="1">
        <v>382</v>
      </c>
      <c r="B383" s="10" t="s">
        <v>351</v>
      </c>
      <c r="C383" s="11">
        <v>16</v>
      </c>
      <c r="D383" s="11">
        <v>1</v>
      </c>
      <c r="E383" s="11">
        <v>1</v>
      </c>
      <c r="F383" s="11">
        <v>1</v>
      </c>
      <c r="G383" s="11">
        <v>1</v>
      </c>
      <c r="H383" s="11">
        <v>0</v>
      </c>
      <c r="I383" s="11">
        <v>0</v>
      </c>
      <c r="J383" s="11">
        <v>0</v>
      </c>
      <c r="K383" s="11">
        <v>1</v>
      </c>
      <c r="L383" s="11">
        <v>1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1</v>
      </c>
      <c r="S383" s="11">
        <v>1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1</v>
      </c>
      <c r="Z383" s="11">
        <v>1</v>
      </c>
      <c r="AA383" s="11">
        <v>1</v>
      </c>
      <c r="AB383" s="11">
        <v>0</v>
      </c>
      <c r="AC383" s="11">
        <v>0</v>
      </c>
      <c r="AD383" s="11">
        <v>0</v>
      </c>
      <c r="AE383" s="11">
        <v>1</v>
      </c>
      <c r="AF383" s="11">
        <v>1</v>
      </c>
      <c r="AG383" s="11">
        <v>1</v>
      </c>
      <c r="AH383" s="11">
        <v>1</v>
      </c>
      <c r="AI383" s="11">
        <v>0</v>
      </c>
      <c r="AJ383" s="11">
        <v>0</v>
      </c>
      <c r="AK383" s="11">
        <v>0</v>
      </c>
      <c r="AL383" s="11">
        <v>1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5">
        <f t="shared" si="55"/>
        <v>49.667778926749989</v>
      </c>
      <c r="BH383" s="3">
        <f t="shared" si="56"/>
        <v>12.684084015497978</v>
      </c>
      <c r="BI383" s="3">
        <f t="shared" si="57"/>
        <v>42.31591598450202</v>
      </c>
      <c r="BJ383" s="3">
        <f t="shared" si="49"/>
        <v>-1.2048152992989893</v>
      </c>
      <c r="BK383" s="3">
        <f t="shared" si="50"/>
        <v>-0.45609683602320777</v>
      </c>
      <c r="BL383" s="3">
        <f t="shared" si="51"/>
        <v>0.94333424358242735</v>
      </c>
      <c r="BM383" s="3">
        <f t="shared" si="52"/>
        <v>-0.79369371818034662</v>
      </c>
      <c r="BN383" s="3">
        <f t="shared" si="53"/>
        <v>42.063062818196535</v>
      </c>
      <c r="BO383" s="2" t="str">
        <f t="shared" si="54"/>
        <v>NC</v>
      </c>
    </row>
    <row r="384" spans="1:67" x14ac:dyDescent="0.35">
      <c r="A384" s="15">
        <v>383</v>
      </c>
      <c r="B384" s="10" t="s">
        <v>352</v>
      </c>
      <c r="C384" s="11">
        <v>19</v>
      </c>
      <c r="D384" s="11">
        <v>1</v>
      </c>
      <c r="E384" s="11">
        <v>0</v>
      </c>
      <c r="F384" s="11">
        <v>1</v>
      </c>
      <c r="G384" s="11">
        <v>1</v>
      </c>
      <c r="H384" s="11">
        <v>1</v>
      </c>
      <c r="I384" s="11">
        <v>1</v>
      </c>
      <c r="J384" s="11">
        <v>1</v>
      </c>
      <c r="K384" s="11">
        <v>1</v>
      </c>
      <c r="L384" s="11">
        <v>1</v>
      </c>
      <c r="M384" s="11">
        <v>1</v>
      </c>
      <c r="N384" s="11">
        <v>0</v>
      </c>
      <c r="O384" s="11">
        <v>1</v>
      </c>
      <c r="P384" s="11">
        <v>0</v>
      </c>
      <c r="Q384" s="11">
        <v>1</v>
      </c>
      <c r="R384" s="11">
        <v>0</v>
      </c>
      <c r="S384" s="11">
        <v>1</v>
      </c>
      <c r="T384" s="11">
        <v>1</v>
      </c>
      <c r="U384" s="11">
        <v>0</v>
      </c>
      <c r="V384" s="11">
        <v>1</v>
      </c>
      <c r="W384" s="11">
        <v>1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1</v>
      </c>
      <c r="AD384" s="11">
        <v>0</v>
      </c>
      <c r="AE384" s="11">
        <v>1</v>
      </c>
      <c r="AF384" s="11">
        <v>1</v>
      </c>
      <c r="AG384" s="11">
        <v>1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5">
        <f t="shared" si="55"/>
        <v>49.586121397226194</v>
      </c>
      <c r="BH384" s="3">
        <f t="shared" si="56"/>
        <v>12.663230436228703</v>
      </c>
      <c r="BI384" s="3">
        <f t="shared" si="57"/>
        <v>42.336769563771298</v>
      </c>
      <c r="BJ384" s="3">
        <f t="shared" si="49"/>
        <v>-1.2069534123895891</v>
      </c>
      <c r="BK384" s="3">
        <f t="shared" si="50"/>
        <v>-0.45609683602320777</v>
      </c>
      <c r="BL384" s="3">
        <f t="shared" si="51"/>
        <v>0.94333424358242735</v>
      </c>
      <c r="BM384" s="3">
        <f t="shared" si="52"/>
        <v>-0.79596026697272371</v>
      </c>
      <c r="BN384" s="3">
        <f t="shared" si="53"/>
        <v>42.040397330272761</v>
      </c>
      <c r="BO384" s="2" t="str">
        <f t="shared" si="54"/>
        <v>NC</v>
      </c>
    </row>
    <row r="385" spans="1:67" x14ac:dyDescent="0.35">
      <c r="A385" s="15">
        <v>384</v>
      </c>
      <c r="B385" s="10" t="s">
        <v>353</v>
      </c>
      <c r="C385" s="11">
        <v>16</v>
      </c>
      <c r="D385" s="11">
        <v>0</v>
      </c>
      <c r="E385" s="11">
        <v>0</v>
      </c>
      <c r="F385" s="11">
        <v>1</v>
      </c>
      <c r="G385" s="11">
        <v>1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1</v>
      </c>
      <c r="O385" s="11">
        <v>0</v>
      </c>
      <c r="P385" s="11">
        <v>1</v>
      </c>
      <c r="Q385" s="11">
        <v>1</v>
      </c>
      <c r="R385" s="11">
        <v>1</v>
      </c>
      <c r="S385" s="11">
        <v>0</v>
      </c>
      <c r="T385" s="11">
        <v>0</v>
      </c>
      <c r="U385" s="11">
        <v>1</v>
      </c>
      <c r="V385" s="11">
        <v>1</v>
      </c>
      <c r="W385" s="11">
        <v>1</v>
      </c>
      <c r="X385" s="11">
        <v>1</v>
      </c>
      <c r="Y385" s="11">
        <v>0</v>
      </c>
      <c r="Z385" s="11">
        <v>0</v>
      </c>
      <c r="AA385" s="11">
        <v>0</v>
      </c>
      <c r="AB385" s="11">
        <v>1</v>
      </c>
      <c r="AC385" s="11">
        <v>0</v>
      </c>
      <c r="AD385" s="11">
        <v>1</v>
      </c>
      <c r="AE385" s="11">
        <v>0</v>
      </c>
      <c r="AF385" s="11">
        <v>0</v>
      </c>
      <c r="AG385" s="11">
        <v>1</v>
      </c>
      <c r="AH385" s="11">
        <v>0</v>
      </c>
      <c r="AI385" s="11">
        <v>0</v>
      </c>
      <c r="AJ385" s="11">
        <v>1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5">
        <f t="shared" si="55"/>
        <v>49.307733554229927</v>
      </c>
      <c r="BH385" s="3">
        <f t="shared" si="56"/>
        <v>12.59213616010523</v>
      </c>
      <c r="BI385" s="3">
        <f t="shared" si="57"/>
        <v>42.407863839894773</v>
      </c>
      <c r="BJ385" s="3">
        <f t="shared" si="49"/>
        <v>-1.2142613081232283</v>
      </c>
      <c r="BK385" s="3">
        <f t="shared" si="50"/>
        <v>-0.45609683602320777</v>
      </c>
      <c r="BL385" s="3">
        <f t="shared" si="51"/>
        <v>0.94333424358242735</v>
      </c>
      <c r="BM385" s="3">
        <f t="shared" si="52"/>
        <v>-0.80370714543426092</v>
      </c>
      <c r="BN385" s="3">
        <f t="shared" si="53"/>
        <v>41.962928545657391</v>
      </c>
      <c r="BO385" s="2" t="str">
        <f t="shared" si="54"/>
        <v>NC</v>
      </c>
    </row>
    <row r="386" spans="1:67" x14ac:dyDescent="0.35">
      <c r="A386" s="1">
        <v>385</v>
      </c>
      <c r="B386" s="10" t="s">
        <v>354</v>
      </c>
      <c r="C386" s="11">
        <v>16</v>
      </c>
      <c r="D386" s="11">
        <v>0</v>
      </c>
      <c r="E386" s="11">
        <v>0</v>
      </c>
      <c r="F386" s="11">
        <v>0</v>
      </c>
      <c r="G386" s="11">
        <v>1</v>
      </c>
      <c r="H386" s="11">
        <v>1</v>
      </c>
      <c r="I386" s="11">
        <v>0</v>
      </c>
      <c r="J386" s="11">
        <v>1</v>
      </c>
      <c r="K386" s="11">
        <v>0</v>
      </c>
      <c r="L386" s="11">
        <v>0</v>
      </c>
      <c r="M386" s="11">
        <v>1</v>
      </c>
      <c r="N386" s="11">
        <v>0</v>
      </c>
      <c r="O386" s="11">
        <v>0</v>
      </c>
      <c r="P386" s="11">
        <v>1</v>
      </c>
      <c r="Q386" s="11">
        <v>1</v>
      </c>
      <c r="R386" s="11">
        <v>1</v>
      </c>
      <c r="S386" s="11">
        <v>1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1</v>
      </c>
      <c r="Z386" s="11">
        <v>1</v>
      </c>
      <c r="AA386" s="11">
        <v>1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1</v>
      </c>
      <c r="AH386" s="11">
        <v>1</v>
      </c>
      <c r="AI386" s="11">
        <v>0</v>
      </c>
      <c r="AJ386" s="11">
        <v>1</v>
      </c>
      <c r="AK386" s="11">
        <v>1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1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5">
        <f t="shared" si="55"/>
        <v>49.049850962211288</v>
      </c>
      <c r="BH386" s="3">
        <f t="shared" si="56"/>
        <v>12.526278484687072</v>
      </c>
      <c r="BI386" s="3">
        <f t="shared" si="57"/>
        <v>42.473721515312931</v>
      </c>
      <c r="BJ386" s="3">
        <f t="shared" ref="BJ386:BJ449" si="58">LN(BH386/BI386)</f>
        <v>-1.2210568510192661</v>
      </c>
      <c r="BK386" s="3">
        <f t="shared" si="50"/>
        <v>-0.45609683602320777</v>
      </c>
      <c r="BL386" s="3">
        <f t="shared" si="51"/>
        <v>0.94333424358242735</v>
      </c>
      <c r="BM386" s="3">
        <f t="shared" si="52"/>
        <v>-0.81091089420334084</v>
      </c>
      <c r="BN386" s="3">
        <f t="shared" si="53"/>
        <v>41.890891057966591</v>
      </c>
      <c r="BO386" s="2" t="str">
        <f t="shared" si="54"/>
        <v>NC</v>
      </c>
    </row>
    <row r="387" spans="1:67" x14ac:dyDescent="0.35">
      <c r="A387" s="15">
        <v>386</v>
      </c>
      <c r="B387" s="10" t="s">
        <v>355</v>
      </c>
      <c r="C387" s="11">
        <v>17</v>
      </c>
      <c r="D387" s="11">
        <v>0</v>
      </c>
      <c r="E387" s="11">
        <v>0</v>
      </c>
      <c r="F387" s="11">
        <v>1</v>
      </c>
      <c r="G387" s="11">
        <v>1</v>
      </c>
      <c r="H387" s="11">
        <v>1</v>
      </c>
      <c r="I387" s="11">
        <v>0</v>
      </c>
      <c r="J387" s="11">
        <v>1</v>
      </c>
      <c r="K387" s="11">
        <v>0</v>
      </c>
      <c r="L387" s="11">
        <v>0</v>
      </c>
      <c r="M387" s="11">
        <v>1</v>
      </c>
      <c r="N387" s="11">
        <v>1</v>
      </c>
      <c r="O387" s="11">
        <v>0</v>
      </c>
      <c r="P387" s="11">
        <v>0</v>
      </c>
      <c r="Q387" s="11">
        <v>1</v>
      </c>
      <c r="R387" s="11">
        <v>1</v>
      </c>
      <c r="S387" s="11">
        <v>1</v>
      </c>
      <c r="T387" s="11">
        <v>1</v>
      </c>
      <c r="U387" s="11">
        <v>1</v>
      </c>
      <c r="V387" s="11">
        <v>0</v>
      </c>
      <c r="W387" s="11">
        <v>0</v>
      </c>
      <c r="X387" s="11">
        <v>0</v>
      </c>
      <c r="Y387" s="11">
        <v>0</v>
      </c>
      <c r="Z387" s="11">
        <v>1</v>
      </c>
      <c r="AA387" s="11">
        <v>0</v>
      </c>
      <c r="AB387" s="11">
        <v>0</v>
      </c>
      <c r="AC387" s="11">
        <v>0</v>
      </c>
      <c r="AD387" s="11">
        <v>1</v>
      </c>
      <c r="AE387" s="11">
        <v>1</v>
      </c>
      <c r="AF387" s="11">
        <v>0</v>
      </c>
      <c r="AG387" s="11">
        <v>0</v>
      </c>
      <c r="AH387" s="11">
        <v>1</v>
      </c>
      <c r="AI387" s="11">
        <v>0</v>
      </c>
      <c r="AJ387" s="11">
        <v>0</v>
      </c>
      <c r="AK387" s="11">
        <v>0</v>
      </c>
      <c r="AL387" s="11">
        <v>0</v>
      </c>
      <c r="AM387" s="11">
        <v>1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1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5">
        <f t="shared" si="55"/>
        <v>48.931036878393932</v>
      </c>
      <c r="BH387" s="3">
        <f t="shared" si="56"/>
        <v>12.495935919468154</v>
      </c>
      <c r="BI387" s="3">
        <f t="shared" si="57"/>
        <v>42.504064080531847</v>
      </c>
      <c r="BJ387" s="3">
        <f t="shared" si="58"/>
        <v>-1.2241962317821833</v>
      </c>
      <c r="BK387" s="3">
        <f t="shared" ref="BK387:BK450" si="59">AVERAGE($BJ$2:$BJ$472)</f>
        <v>-0.45609683602320777</v>
      </c>
      <c r="BL387" s="3">
        <f t="shared" ref="BL387:BL450" si="60">_xlfn.STDEV.S($BJ$2:$BJ$472)</f>
        <v>0.94333424358242735</v>
      </c>
      <c r="BM387" s="3">
        <f t="shared" ref="BM387:BM450" si="61">(BJ387-BK387)/BL387</f>
        <v>-0.8142388564651527</v>
      </c>
      <c r="BN387" s="3">
        <f t="shared" ref="BN387:BN450" si="62">50+10*BM387</f>
        <v>41.857611435348474</v>
      </c>
      <c r="BO387" s="2" t="str">
        <f t="shared" ref="BO387:BO450" si="63">IF(BN387&lt;45,"NC",IF(BN387&lt;50,"C",IF(BN387&lt;55,"C+",IF(BN387&lt;60,"B",IF(BN387&lt;65,"B+",IF(BN387&lt;=70,"A","A+"))))))</f>
        <v>NC</v>
      </c>
    </row>
    <row r="388" spans="1:67" x14ac:dyDescent="0.35">
      <c r="A388" s="15">
        <v>387</v>
      </c>
      <c r="B388" s="10" t="s">
        <v>356</v>
      </c>
      <c r="C388" s="11">
        <v>18</v>
      </c>
      <c r="D388" s="11">
        <v>1</v>
      </c>
      <c r="E388" s="11">
        <v>0</v>
      </c>
      <c r="F388" s="11">
        <v>1</v>
      </c>
      <c r="G388" s="11">
        <v>1</v>
      </c>
      <c r="H388" s="11">
        <v>1</v>
      </c>
      <c r="I388" s="11">
        <v>0</v>
      </c>
      <c r="J388" s="11">
        <v>1</v>
      </c>
      <c r="K388" s="11">
        <v>1</v>
      </c>
      <c r="L388" s="11">
        <v>0</v>
      </c>
      <c r="M388" s="11">
        <v>1</v>
      </c>
      <c r="N388" s="11">
        <v>0</v>
      </c>
      <c r="O388" s="11">
        <v>1</v>
      </c>
      <c r="P388" s="11">
        <v>1</v>
      </c>
      <c r="Q388" s="11">
        <v>1</v>
      </c>
      <c r="R388" s="11">
        <v>0</v>
      </c>
      <c r="S388" s="11">
        <v>1</v>
      </c>
      <c r="T388" s="11">
        <v>1</v>
      </c>
      <c r="U388" s="11">
        <v>0</v>
      </c>
      <c r="V388" s="11">
        <v>0</v>
      </c>
      <c r="W388" s="11">
        <v>1</v>
      </c>
      <c r="X388" s="11">
        <v>1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1</v>
      </c>
      <c r="AF388" s="11">
        <v>1</v>
      </c>
      <c r="AG388" s="11">
        <v>1</v>
      </c>
      <c r="AH388" s="11">
        <v>0</v>
      </c>
      <c r="AI388" s="11">
        <v>0</v>
      </c>
      <c r="AJ388" s="11">
        <v>0</v>
      </c>
      <c r="AK388" s="11">
        <v>0</v>
      </c>
      <c r="AL388" s="11">
        <v>1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5">
        <f t="shared" ref="BG388:BG451" si="64">D388*$D$477+E388*$E$477+F388*$F$477+G388*$G$477+H388*$H$477+I388*$I$477+J388*$J$477+K388*$K$477+L388*$L$477+M388*$M$477+N388*$N$477+O388*$O$477+P388*$P$477+Q388*$Q$477+R388*$R$477+S388*$S$477+T388*$T$477+U388*$U$477+V388*$V$477+W388*W$477+X388*$X$477+Y388*$Y$477+Z388*$Z$477+AA388*$AA$477+AB388*$AB$477+AC388*$AC$477+AD388*$AD$477+AE388*$AE$477+AF388*$AF$477+AG388*$AG$477+AH388*$AH$477+AI388*$AI$477+AJ388*$AJ$477+AK388*$AK$477+AL388*$AL$477+AM388*$AM$477+AN388*$AN$477+AO388*$AO$477+AP388*$AP$477+AQ388*$AQ$477+AR388*$AR$477+AS388*$AS$477+AT388*$AT$477+AU388*$AU$477+AV388*$AV$477+AW388*$AW$477+AX388*$AX$477+AY388*$AY$477+AZ388*$AZ$477+BA388*$BA$477+BB388*$BB$477+BC388*$BC$477+BD388*$BD$477+BE388*$BE$477+BF388*$BF$477</f>
        <v>48.870253428125295</v>
      </c>
      <c r="BH388" s="3">
        <f t="shared" ref="BH388:BH451" si="65">BG388*55/$BG$2</f>
        <v>12.480413131724891</v>
      </c>
      <c r="BI388" s="3">
        <f t="shared" ref="BI388:BI451" si="66">55-BH388</f>
        <v>42.519586868275113</v>
      </c>
      <c r="BJ388" s="3">
        <f t="shared" si="58"/>
        <v>-1.2258043713554245</v>
      </c>
      <c r="BK388" s="3">
        <f t="shared" si="59"/>
        <v>-0.45609683602320777</v>
      </c>
      <c r="BL388" s="3">
        <f t="shared" si="60"/>
        <v>0.94333424358242735</v>
      </c>
      <c r="BM388" s="3">
        <f t="shared" si="61"/>
        <v>-0.81594359641727632</v>
      </c>
      <c r="BN388" s="3">
        <f t="shared" si="62"/>
        <v>41.840564035827235</v>
      </c>
      <c r="BO388" s="2" t="str">
        <f t="shared" si="63"/>
        <v>NC</v>
      </c>
    </row>
    <row r="389" spans="1:67" x14ac:dyDescent="0.35">
      <c r="A389" s="1">
        <v>388</v>
      </c>
      <c r="B389" s="10" t="s">
        <v>357</v>
      </c>
      <c r="C389" s="11">
        <v>16</v>
      </c>
      <c r="D389" s="11">
        <v>1</v>
      </c>
      <c r="E389" s="11">
        <v>0</v>
      </c>
      <c r="F389" s="11">
        <v>1</v>
      </c>
      <c r="G389" s="11">
        <v>1</v>
      </c>
      <c r="H389" s="11">
        <v>1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1</v>
      </c>
      <c r="O389" s="11">
        <v>0</v>
      </c>
      <c r="P389" s="11">
        <v>0</v>
      </c>
      <c r="Q389" s="11">
        <v>1</v>
      </c>
      <c r="R389" s="11">
        <v>1</v>
      </c>
      <c r="S389" s="11">
        <v>0</v>
      </c>
      <c r="T389" s="11">
        <v>0</v>
      </c>
      <c r="U389" s="11">
        <v>0</v>
      </c>
      <c r="V389" s="11">
        <v>1</v>
      </c>
      <c r="W389" s="11">
        <v>1</v>
      </c>
      <c r="X389" s="11">
        <v>0</v>
      </c>
      <c r="Y389" s="11">
        <v>0</v>
      </c>
      <c r="Z389" s="11">
        <v>0</v>
      </c>
      <c r="AA389" s="11">
        <v>1</v>
      </c>
      <c r="AB389" s="11">
        <v>0</v>
      </c>
      <c r="AC389" s="11">
        <v>0</v>
      </c>
      <c r="AD389" s="11">
        <v>1</v>
      </c>
      <c r="AE389" s="11">
        <v>0</v>
      </c>
      <c r="AF389" s="11">
        <v>1</v>
      </c>
      <c r="AG389" s="11">
        <v>1</v>
      </c>
      <c r="AH389" s="11">
        <v>0</v>
      </c>
      <c r="AI389" s="11">
        <v>0</v>
      </c>
      <c r="AJ389" s="11">
        <v>1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1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5">
        <f t="shared" si="64"/>
        <v>48.837739844200129</v>
      </c>
      <c r="BH389" s="3">
        <f t="shared" si="65"/>
        <v>12.47210986068956</v>
      </c>
      <c r="BI389" s="3">
        <f t="shared" si="66"/>
        <v>42.527890139310443</v>
      </c>
      <c r="BJ389" s="3">
        <f t="shared" si="58"/>
        <v>-1.2266651589689279</v>
      </c>
      <c r="BK389" s="3">
        <f t="shared" si="59"/>
        <v>-0.45609683602320777</v>
      </c>
      <c r="BL389" s="3">
        <f t="shared" si="60"/>
        <v>0.94333424358242735</v>
      </c>
      <c r="BM389" s="3">
        <f t="shared" si="61"/>
        <v>-0.81685609124014458</v>
      </c>
      <c r="BN389" s="3">
        <f t="shared" si="62"/>
        <v>41.831439087598554</v>
      </c>
      <c r="BO389" s="2" t="str">
        <f t="shared" si="63"/>
        <v>NC</v>
      </c>
    </row>
    <row r="390" spans="1:67" x14ac:dyDescent="0.35">
      <c r="A390" s="15">
        <v>389</v>
      </c>
      <c r="B390" s="10" t="s">
        <v>358</v>
      </c>
      <c r="C390" s="11">
        <v>17</v>
      </c>
      <c r="D390" s="11">
        <v>0</v>
      </c>
      <c r="E390" s="11">
        <v>1</v>
      </c>
      <c r="F390" s="11">
        <v>0</v>
      </c>
      <c r="G390" s="11">
        <v>1</v>
      </c>
      <c r="H390" s="11">
        <v>1</v>
      </c>
      <c r="I390" s="11">
        <v>1</v>
      </c>
      <c r="J390" s="11">
        <v>1</v>
      </c>
      <c r="K390" s="11">
        <v>1</v>
      </c>
      <c r="L390" s="11">
        <v>1</v>
      </c>
      <c r="M390" s="11">
        <v>1</v>
      </c>
      <c r="N390" s="11">
        <v>1</v>
      </c>
      <c r="O390" s="11">
        <v>0</v>
      </c>
      <c r="P390" s="11">
        <v>0</v>
      </c>
      <c r="Q390" s="11">
        <v>1</v>
      </c>
      <c r="R390" s="11">
        <v>0</v>
      </c>
      <c r="S390" s="11">
        <v>1</v>
      </c>
      <c r="T390" s="11">
        <v>0</v>
      </c>
      <c r="U390" s="11">
        <v>0</v>
      </c>
      <c r="V390" s="11">
        <v>0</v>
      </c>
      <c r="W390" s="11">
        <v>1</v>
      </c>
      <c r="X390" s="11">
        <v>0</v>
      </c>
      <c r="Y390" s="11">
        <v>1</v>
      </c>
      <c r="Z390" s="11">
        <v>0</v>
      </c>
      <c r="AA390" s="11">
        <v>0</v>
      </c>
      <c r="AB390" s="11">
        <v>1</v>
      </c>
      <c r="AC390" s="11">
        <v>1</v>
      </c>
      <c r="AD390" s="11">
        <v>1</v>
      </c>
      <c r="AE390" s="11">
        <v>0</v>
      </c>
      <c r="AF390" s="11">
        <v>0</v>
      </c>
      <c r="AG390" s="11">
        <v>0</v>
      </c>
      <c r="AH390" s="11">
        <v>0</v>
      </c>
      <c r="AI390" s="11">
        <v>1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5">
        <f t="shared" si="64"/>
        <v>48.446038699206028</v>
      </c>
      <c r="BH390" s="3">
        <f t="shared" si="65"/>
        <v>12.372077800882751</v>
      </c>
      <c r="BI390" s="3">
        <f t="shared" si="66"/>
        <v>42.627922199117251</v>
      </c>
      <c r="BJ390" s="3">
        <f t="shared" si="58"/>
        <v>-1.2370673459772994</v>
      </c>
      <c r="BK390" s="3">
        <f t="shared" si="59"/>
        <v>-0.45609683602320777</v>
      </c>
      <c r="BL390" s="3">
        <f t="shared" si="60"/>
        <v>0.94333424358242735</v>
      </c>
      <c r="BM390" s="3">
        <f t="shared" si="61"/>
        <v>-0.82788313396560309</v>
      </c>
      <c r="BN390" s="3">
        <f t="shared" si="62"/>
        <v>41.72116866034397</v>
      </c>
      <c r="BO390" s="2" t="str">
        <f t="shared" si="63"/>
        <v>NC</v>
      </c>
    </row>
    <row r="391" spans="1:67" x14ac:dyDescent="0.35">
      <c r="A391" s="15">
        <v>390</v>
      </c>
      <c r="B391" s="10" t="s">
        <v>359</v>
      </c>
      <c r="C391" s="11">
        <v>15</v>
      </c>
      <c r="D391" s="11">
        <v>0</v>
      </c>
      <c r="E391" s="11">
        <v>0</v>
      </c>
      <c r="F391" s="11">
        <v>1</v>
      </c>
      <c r="G391" s="11">
        <v>1</v>
      </c>
      <c r="H391" s="11">
        <v>1</v>
      </c>
      <c r="I391" s="11">
        <v>1</v>
      </c>
      <c r="J391" s="11">
        <v>1</v>
      </c>
      <c r="K391" s="11">
        <v>0</v>
      </c>
      <c r="L391" s="11">
        <v>0</v>
      </c>
      <c r="M391" s="11">
        <v>1</v>
      </c>
      <c r="N391" s="11">
        <v>0</v>
      </c>
      <c r="O391" s="11">
        <v>0</v>
      </c>
      <c r="P391" s="11">
        <v>0</v>
      </c>
      <c r="Q391" s="11">
        <v>0</v>
      </c>
      <c r="R391" s="11">
        <v>1</v>
      </c>
      <c r="S391" s="11">
        <v>0</v>
      </c>
      <c r="T391" s="11">
        <v>0</v>
      </c>
      <c r="U391" s="11">
        <v>1</v>
      </c>
      <c r="V391" s="11">
        <v>0</v>
      </c>
      <c r="W391" s="11">
        <v>0</v>
      </c>
      <c r="X391" s="11">
        <v>0</v>
      </c>
      <c r="Y391" s="11">
        <v>0</v>
      </c>
      <c r="Z391" s="11">
        <v>1</v>
      </c>
      <c r="AA391" s="11">
        <v>0</v>
      </c>
      <c r="AB391" s="11">
        <v>0</v>
      </c>
      <c r="AC391" s="11">
        <v>0</v>
      </c>
      <c r="AD391" s="11">
        <v>1</v>
      </c>
      <c r="AE391" s="11">
        <v>0</v>
      </c>
      <c r="AF391" s="11">
        <v>0</v>
      </c>
      <c r="AG391" s="11">
        <v>1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1</v>
      </c>
      <c r="AU391" s="11">
        <v>0</v>
      </c>
      <c r="AV391" s="11">
        <v>0</v>
      </c>
      <c r="AW391" s="11">
        <v>1</v>
      </c>
      <c r="AX391" s="11">
        <v>0</v>
      </c>
      <c r="AY391" s="11">
        <v>0</v>
      </c>
      <c r="AZ391" s="11">
        <v>0</v>
      </c>
      <c r="BA391" s="11">
        <v>0</v>
      </c>
      <c r="BB391" s="11">
        <v>1</v>
      </c>
      <c r="BC391" s="11">
        <v>1</v>
      </c>
      <c r="BD391" s="11">
        <v>0</v>
      </c>
      <c r="BE391" s="11">
        <v>0</v>
      </c>
      <c r="BF391" s="11">
        <v>0</v>
      </c>
      <c r="BG391" s="5">
        <f t="shared" si="64"/>
        <v>48.371658861101714</v>
      </c>
      <c r="BH391" s="3">
        <f t="shared" si="65"/>
        <v>12.353082787697932</v>
      </c>
      <c r="BI391" s="3">
        <f t="shared" si="66"/>
        <v>42.646917212302071</v>
      </c>
      <c r="BJ391" s="3">
        <f t="shared" si="58"/>
        <v>-1.2390493398922546</v>
      </c>
      <c r="BK391" s="3">
        <f t="shared" si="59"/>
        <v>-0.45609683602320777</v>
      </c>
      <c r="BL391" s="3">
        <f t="shared" si="60"/>
        <v>0.94333424358242735</v>
      </c>
      <c r="BM391" s="3">
        <f t="shared" si="61"/>
        <v>-0.82998418555833275</v>
      </c>
      <c r="BN391" s="3">
        <f t="shared" si="62"/>
        <v>41.700158144416676</v>
      </c>
      <c r="BO391" s="2" t="str">
        <f t="shared" si="63"/>
        <v>NC</v>
      </c>
    </row>
    <row r="392" spans="1:67" x14ac:dyDescent="0.35">
      <c r="A392" s="1">
        <v>391</v>
      </c>
      <c r="B392" s="10" t="s">
        <v>360</v>
      </c>
      <c r="C392" s="11">
        <v>17</v>
      </c>
      <c r="D392" s="11">
        <v>0</v>
      </c>
      <c r="E392" s="11">
        <v>1</v>
      </c>
      <c r="F392" s="11">
        <v>1</v>
      </c>
      <c r="G392" s="11">
        <v>1</v>
      </c>
      <c r="H392" s="11">
        <v>1</v>
      </c>
      <c r="I392" s="11">
        <v>1</v>
      </c>
      <c r="J392" s="11">
        <v>1</v>
      </c>
      <c r="K392" s="11">
        <v>1</v>
      </c>
      <c r="L392" s="11">
        <v>1</v>
      </c>
      <c r="M392" s="11">
        <v>1</v>
      </c>
      <c r="N392" s="11">
        <v>0</v>
      </c>
      <c r="O392" s="11">
        <v>0</v>
      </c>
      <c r="P392" s="11">
        <v>0</v>
      </c>
      <c r="Q392" s="11">
        <v>1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1</v>
      </c>
      <c r="AA392" s="11">
        <v>1</v>
      </c>
      <c r="AB392" s="11">
        <v>0</v>
      </c>
      <c r="AC392" s="11">
        <v>1</v>
      </c>
      <c r="AD392" s="11">
        <v>0</v>
      </c>
      <c r="AE392" s="11">
        <v>1</v>
      </c>
      <c r="AF392" s="11">
        <v>1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1</v>
      </c>
      <c r="AU392" s="11">
        <v>0</v>
      </c>
      <c r="AV392" s="11">
        <v>0</v>
      </c>
      <c r="AW392" s="11">
        <v>1</v>
      </c>
      <c r="AX392" s="11">
        <v>0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5">
        <f t="shared" si="64"/>
        <v>47.846529205045066</v>
      </c>
      <c r="BH392" s="3">
        <f t="shared" si="65"/>
        <v>12.218975951830048</v>
      </c>
      <c r="BI392" s="3">
        <f t="shared" si="66"/>
        <v>42.781024048169954</v>
      </c>
      <c r="BJ392" s="3">
        <f t="shared" si="58"/>
        <v>-1.2531044916765957</v>
      </c>
      <c r="BK392" s="3">
        <f t="shared" si="59"/>
        <v>-0.45609683602320777</v>
      </c>
      <c r="BL392" s="3">
        <f t="shared" si="60"/>
        <v>0.94333424358242735</v>
      </c>
      <c r="BM392" s="3">
        <f t="shared" si="61"/>
        <v>-0.84488362536978789</v>
      </c>
      <c r="BN392" s="3">
        <f t="shared" si="62"/>
        <v>41.551163746302123</v>
      </c>
      <c r="BO392" s="2" t="str">
        <f t="shared" si="63"/>
        <v>NC</v>
      </c>
    </row>
    <row r="393" spans="1:67" x14ac:dyDescent="0.35">
      <c r="A393" s="15">
        <v>392</v>
      </c>
      <c r="B393" s="10" t="s">
        <v>361</v>
      </c>
      <c r="C393" s="11">
        <v>16</v>
      </c>
      <c r="D393" s="11">
        <v>1</v>
      </c>
      <c r="E393" s="11">
        <v>0</v>
      </c>
      <c r="F393" s="11">
        <v>1</v>
      </c>
      <c r="G393" s="11">
        <v>1</v>
      </c>
      <c r="H393" s="11">
        <v>1</v>
      </c>
      <c r="I393" s="11">
        <v>1</v>
      </c>
      <c r="J393" s="11">
        <v>0</v>
      </c>
      <c r="K393" s="11">
        <v>1</v>
      </c>
      <c r="L393" s="11">
        <v>1</v>
      </c>
      <c r="M393" s="11">
        <v>1</v>
      </c>
      <c r="N393" s="11">
        <v>1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1</v>
      </c>
      <c r="U393" s="11">
        <v>0</v>
      </c>
      <c r="V393" s="11">
        <v>1</v>
      </c>
      <c r="W393" s="11">
        <v>0</v>
      </c>
      <c r="X393" s="11">
        <v>0</v>
      </c>
      <c r="Y393" s="11">
        <v>1</v>
      </c>
      <c r="Z393" s="11">
        <v>1</v>
      </c>
      <c r="AA393" s="11">
        <v>0</v>
      </c>
      <c r="AB393" s="11">
        <v>1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1</v>
      </c>
      <c r="AR393" s="11">
        <v>1</v>
      </c>
      <c r="AS393" s="11">
        <v>0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5">
        <f t="shared" si="64"/>
        <v>47.791417154117205</v>
      </c>
      <c r="BH393" s="3">
        <f t="shared" si="65"/>
        <v>12.204901517672917</v>
      </c>
      <c r="BI393" s="3">
        <f t="shared" si="66"/>
        <v>42.795098482327084</v>
      </c>
      <c r="BJ393" s="3">
        <f t="shared" si="58"/>
        <v>-1.2545859397912642</v>
      </c>
      <c r="BK393" s="3">
        <f t="shared" si="59"/>
        <v>-0.45609683602320777</v>
      </c>
      <c r="BL393" s="3">
        <f t="shared" si="60"/>
        <v>0.94333424358242735</v>
      </c>
      <c r="BM393" s="3">
        <f t="shared" si="61"/>
        <v>-0.84645406355195607</v>
      </c>
      <c r="BN393" s="3">
        <f t="shared" si="62"/>
        <v>41.535459364480438</v>
      </c>
      <c r="BO393" s="2" t="str">
        <f t="shared" si="63"/>
        <v>NC</v>
      </c>
    </row>
    <row r="394" spans="1:67" x14ac:dyDescent="0.35">
      <c r="A394" s="15">
        <v>393</v>
      </c>
      <c r="B394" s="10" t="s">
        <v>362</v>
      </c>
      <c r="C394" s="11">
        <v>17</v>
      </c>
      <c r="D394" s="11">
        <v>1</v>
      </c>
      <c r="E394" s="11">
        <v>0</v>
      </c>
      <c r="F394" s="11">
        <v>0</v>
      </c>
      <c r="G394" s="11">
        <v>1</v>
      </c>
      <c r="H394" s="11">
        <v>1</v>
      </c>
      <c r="I394" s="11">
        <v>0</v>
      </c>
      <c r="J394" s="11">
        <v>0</v>
      </c>
      <c r="K394" s="11">
        <v>1</v>
      </c>
      <c r="L394" s="11">
        <v>1</v>
      </c>
      <c r="M394" s="11">
        <v>1</v>
      </c>
      <c r="N394" s="11">
        <v>1</v>
      </c>
      <c r="O394" s="11">
        <v>1</v>
      </c>
      <c r="P394" s="11">
        <v>0</v>
      </c>
      <c r="Q394" s="11">
        <v>1</v>
      </c>
      <c r="R394" s="11">
        <v>0</v>
      </c>
      <c r="S394" s="11">
        <v>0</v>
      </c>
      <c r="T394" s="11">
        <v>0</v>
      </c>
      <c r="U394" s="11">
        <v>1</v>
      </c>
      <c r="V394" s="11">
        <v>0</v>
      </c>
      <c r="W394" s="11">
        <v>1</v>
      </c>
      <c r="X394" s="11">
        <v>0</v>
      </c>
      <c r="Y394" s="11">
        <v>1</v>
      </c>
      <c r="Z394" s="11">
        <v>0</v>
      </c>
      <c r="AA394" s="11">
        <v>0</v>
      </c>
      <c r="AB394" s="11">
        <v>0</v>
      </c>
      <c r="AC394" s="11">
        <v>1</v>
      </c>
      <c r="AD394" s="11">
        <v>1</v>
      </c>
      <c r="AE394" s="11">
        <v>1</v>
      </c>
      <c r="AF394" s="11">
        <v>1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1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5">
        <f t="shared" si="64"/>
        <v>47.791843588346914</v>
      </c>
      <c r="BH394" s="3">
        <f t="shared" si="65"/>
        <v>12.205010419816595</v>
      </c>
      <c r="BI394" s="3">
        <f t="shared" si="66"/>
        <v>42.794989580183405</v>
      </c>
      <c r="BJ394" s="3">
        <f t="shared" si="58"/>
        <v>-1.2545744722734447</v>
      </c>
      <c r="BK394" s="3">
        <f t="shared" si="59"/>
        <v>-0.45609683602320777</v>
      </c>
      <c r="BL394" s="3">
        <f t="shared" si="60"/>
        <v>0.94333424358242735</v>
      </c>
      <c r="BM394" s="3">
        <f t="shared" si="61"/>
        <v>-0.84644190718437207</v>
      </c>
      <c r="BN394" s="3">
        <f t="shared" si="62"/>
        <v>41.535580928156278</v>
      </c>
      <c r="BO394" s="2" t="str">
        <f t="shared" si="63"/>
        <v>NC</v>
      </c>
    </row>
    <row r="395" spans="1:67" x14ac:dyDescent="0.35">
      <c r="A395" s="1">
        <v>394</v>
      </c>
      <c r="B395" s="10" t="s">
        <v>363</v>
      </c>
      <c r="C395" s="11">
        <v>18</v>
      </c>
      <c r="D395" s="11">
        <v>1</v>
      </c>
      <c r="E395" s="11">
        <v>1</v>
      </c>
      <c r="F395" s="11">
        <v>1</v>
      </c>
      <c r="G395" s="11">
        <v>1</v>
      </c>
      <c r="H395" s="11">
        <v>1</v>
      </c>
      <c r="I395" s="11">
        <v>0</v>
      </c>
      <c r="J395" s="11">
        <v>1</v>
      </c>
      <c r="K395" s="11">
        <v>1</v>
      </c>
      <c r="L395" s="11">
        <v>1</v>
      </c>
      <c r="M395" s="11">
        <v>1</v>
      </c>
      <c r="N395" s="11">
        <v>1</v>
      </c>
      <c r="O395" s="11">
        <v>0</v>
      </c>
      <c r="P395" s="11">
        <v>0</v>
      </c>
      <c r="Q395" s="11">
        <v>1</v>
      </c>
      <c r="R395" s="11">
        <v>0</v>
      </c>
      <c r="S395" s="11">
        <v>1</v>
      </c>
      <c r="T395" s="11">
        <v>1</v>
      </c>
      <c r="U395" s="11">
        <v>1</v>
      </c>
      <c r="V395" s="11">
        <v>1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1</v>
      </c>
      <c r="AC395" s="11">
        <v>0</v>
      </c>
      <c r="AD395" s="11">
        <v>0</v>
      </c>
      <c r="AE395" s="11">
        <v>0</v>
      </c>
      <c r="AF395" s="11">
        <v>1</v>
      </c>
      <c r="AG395" s="11">
        <v>1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5">
        <f t="shared" si="64"/>
        <v>47.463527144049181</v>
      </c>
      <c r="BH395" s="3">
        <f t="shared" si="65"/>
        <v>12.121165451244842</v>
      </c>
      <c r="BI395" s="3">
        <f t="shared" si="66"/>
        <v>42.878834548755158</v>
      </c>
      <c r="BJ395" s="3">
        <f t="shared" si="58"/>
        <v>-1.2634252016646745</v>
      </c>
      <c r="BK395" s="3">
        <f t="shared" si="59"/>
        <v>-0.45609683602320777</v>
      </c>
      <c r="BL395" s="3">
        <f t="shared" si="60"/>
        <v>0.94333424358242735</v>
      </c>
      <c r="BM395" s="3">
        <f t="shared" si="61"/>
        <v>-0.85582429677898508</v>
      </c>
      <c r="BN395" s="3">
        <f t="shared" si="62"/>
        <v>41.441757032210148</v>
      </c>
      <c r="BO395" s="2" t="str">
        <f t="shared" si="63"/>
        <v>NC</v>
      </c>
    </row>
    <row r="396" spans="1:67" x14ac:dyDescent="0.35">
      <c r="A396" s="15">
        <v>395</v>
      </c>
      <c r="B396" s="10" t="s">
        <v>364</v>
      </c>
      <c r="C396" s="11">
        <v>17</v>
      </c>
      <c r="D396" s="11">
        <v>1</v>
      </c>
      <c r="E396" s="11">
        <v>1</v>
      </c>
      <c r="F396" s="11">
        <v>1</v>
      </c>
      <c r="G396" s="11">
        <v>0</v>
      </c>
      <c r="H396" s="11">
        <v>1</v>
      </c>
      <c r="I396" s="11">
        <v>1</v>
      </c>
      <c r="J396" s="11">
        <v>1</v>
      </c>
      <c r="K396" s="11">
        <v>1</v>
      </c>
      <c r="L396" s="11">
        <v>1</v>
      </c>
      <c r="M396" s="11">
        <v>1</v>
      </c>
      <c r="N396" s="11">
        <v>1</v>
      </c>
      <c r="O396" s="11">
        <v>0</v>
      </c>
      <c r="P396" s="11">
        <v>0</v>
      </c>
      <c r="Q396" s="11">
        <v>1</v>
      </c>
      <c r="R396" s="11">
        <v>0</v>
      </c>
      <c r="S396" s="11">
        <v>0</v>
      </c>
      <c r="T396" s="11">
        <v>1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1</v>
      </c>
      <c r="AC396" s="11">
        <v>1</v>
      </c>
      <c r="AD396" s="11">
        <v>0</v>
      </c>
      <c r="AE396" s="11">
        <v>0</v>
      </c>
      <c r="AF396" s="11">
        <v>1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1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1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5">
        <f t="shared" si="64"/>
        <v>47.431915342334911</v>
      </c>
      <c r="BH396" s="3">
        <f t="shared" si="65"/>
        <v>12.11309247601846</v>
      </c>
      <c r="BI396" s="3">
        <f t="shared" si="66"/>
        <v>42.886907523981542</v>
      </c>
      <c r="BJ396" s="3">
        <f t="shared" si="58"/>
        <v>-1.2642797029847133</v>
      </c>
      <c r="BK396" s="3">
        <f t="shared" si="59"/>
        <v>-0.45609683602320777</v>
      </c>
      <c r="BL396" s="3">
        <f t="shared" si="60"/>
        <v>0.94333424358242735</v>
      </c>
      <c r="BM396" s="3">
        <f t="shared" si="61"/>
        <v>-0.85673012769295009</v>
      </c>
      <c r="BN396" s="3">
        <f t="shared" si="62"/>
        <v>41.432698723070502</v>
      </c>
      <c r="BO396" s="2" t="str">
        <f t="shared" si="63"/>
        <v>NC</v>
      </c>
    </row>
    <row r="397" spans="1:67" x14ac:dyDescent="0.35">
      <c r="A397" s="15">
        <v>396</v>
      </c>
      <c r="B397" s="10" t="s">
        <v>365</v>
      </c>
      <c r="C397" s="11">
        <v>16</v>
      </c>
      <c r="D397" s="11">
        <v>1</v>
      </c>
      <c r="E397" s="11">
        <v>1</v>
      </c>
      <c r="F397" s="11">
        <v>1</v>
      </c>
      <c r="G397" s="11">
        <v>1</v>
      </c>
      <c r="H397" s="11">
        <v>1</v>
      </c>
      <c r="I397" s="11">
        <v>0</v>
      </c>
      <c r="J397" s="11">
        <v>0</v>
      </c>
      <c r="K397" s="11">
        <v>1</v>
      </c>
      <c r="L397" s="11">
        <v>0</v>
      </c>
      <c r="M397" s="11">
        <v>0</v>
      </c>
      <c r="N397" s="11">
        <v>0</v>
      </c>
      <c r="O397" s="11">
        <v>0</v>
      </c>
      <c r="P397" s="11">
        <v>1</v>
      </c>
      <c r="Q397" s="11">
        <v>1</v>
      </c>
      <c r="R397" s="11">
        <v>0</v>
      </c>
      <c r="S397" s="11">
        <v>0</v>
      </c>
      <c r="T397" s="11">
        <v>0</v>
      </c>
      <c r="U397" s="11">
        <v>1</v>
      </c>
      <c r="V397" s="11">
        <v>0</v>
      </c>
      <c r="W397" s="11">
        <v>1</v>
      </c>
      <c r="X397" s="11">
        <v>1</v>
      </c>
      <c r="Y397" s="11">
        <v>1</v>
      </c>
      <c r="Z397" s="11">
        <v>0</v>
      </c>
      <c r="AA397" s="11">
        <v>0</v>
      </c>
      <c r="AB397" s="11">
        <v>0</v>
      </c>
      <c r="AC397" s="11">
        <v>1</v>
      </c>
      <c r="AD397" s="11">
        <v>0</v>
      </c>
      <c r="AE397" s="11">
        <v>0</v>
      </c>
      <c r="AF397" s="11">
        <v>0</v>
      </c>
      <c r="AG397" s="11">
        <v>1</v>
      </c>
      <c r="AH397" s="11">
        <v>0</v>
      </c>
      <c r="AI397" s="11">
        <v>0</v>
      </c>
      <c r="AJ397" s="11">
        <v>0</v>
      </c>
      <c r="AK397" s="11">
        <v>0</v>
      </c>
      <c r="AL397" s="11">
        <v>1</v>
      </c>
      <c r="AM397" s="11">
        <v>0</v>
      </c>
      <c r="AN397" s="11">
        <v>0</v>
      </c>
      <c r="AO397" s="11">
        <v>1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5">
        <f t="shared" si="64"/>
        <v>47.422525624959675</v>
      </c>
      <c r="BH397" s="3">
        <f t="shared" si="65"/>
        <v>12.110694543865204</v>
      </c>
      <c r="BI397" s="3">
        <f t="shared" si="66"/>
        <v>42.889305456134792</v>
      </c>
      <c r="BJ397" s="3">
        <f t="shared" si="58"/>
        <v>-1.2645335959485338</v>
      </c>
      <c r="BK397" s="3">
        <f t="shared" si="59"/>
        <v>-0.45609683602320777</v>
      </c>
      <c r="BL397" s="3">
        <f t="shared" si="60"/>
        <v>0.94333424358242735</v>
      </c>
      <c r="BM397" s="3">
        <f t="shared" si="61"/>
        <v>-0.85699927191786052</v>
      </c>
      <c r="BN397" s="3">
        <f t="shared" si="62"/>
        <v>41.430007280821393</v>
      </c>
      <c r="BO397" s="2" t="str">
        <f t="shared" si="63"/>
        <v>NC</v>
      </c>
    </row>
    <row r="398" spans="1:67" x14ac:dyDescent="0.35">
      <c r="A398" s="1">
        <v>397</v>
      </c>
      <c r="B398" s="10" t="s">
        <v>366</v>
      </c>
      <c r="C398" s="11">
        <v>18</v>
      </c>
      <c r="D398" s="11">
        <v>1</v>
      </c>
      <c r="E398" s="11">
        <v>1</v>
      </c>
      <c r="F398" s="11">
        <v>1</v>
      </c>
      <c r="G398" s="11">
        <v>1</v>
      </c>
      <c r="H398" s="11">
        <v>1</v>
      </c>
      <c r="I398" s="11">
        <v>1</v>
      </c>
      <c r="J398" s="11">
        <v>1</v>
      </c>
      <c r="K398" s="11">
        <v>1</v>
      </c>
      <c r="L398" s="11">
        <v>1</v>
      </c>
      <c r="M398" s="11">
        <v>1</v>
      </c>
      <c r="N398" s="11">
        <v>1</v>
      </c>
      <c r="O398" s="11">
        <v>1</v>
      </c>
      <c r="P398" s="11">
        <v>0</v>
      </c>
      <c r="Q398" s="11">
        <v>1</v>
      </c>
      <c r="R398" s="11">
        <v>0</v>
      </c>
      <c r="S398" s="11">
        <v>0</v>
      </c>
      <c r="T398" s="11">
        <v>0</v>
      </c>
      <c r="U398" s="11">
        <v>1</v>
      </c>
      <c r="V398" s="11">
        <v>0</v>
      </c>
      <c r="W398" s="11">
        <v>1</v>
      </c>
      <c r="X398" s="11">
        <v>0</v>
      </c>
      <c r="Y398" s="11">
        <v>1</v>
      </c>
      <c r="Z398" s="11">
        <v>0</v>
      </c>
      <c r="AA398" s="11">
        <v>1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1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5">
        <f t="shared" si="64"/>
        <v>47.302079083233977</v>
      </c>
      <c r="BH398" s="3">
        <f t="shared" si="65"/>
        <v>12.079935083957041</v>
      </c>
      <c r="BI398" s="3">
        <f t="shared" si="66"/>
        <v>42.920064916042961</v>
      </c>
      <c r="BJ398" s="3">
        <f t="shared" si="58"/>
        <v>-1.2677936116030915</v>
      </c>
      <c r="BK398" s="3">
        <f t="shared" si="59"/>
        <v>-0.45609683602320777</v>
      </c>
      <c r="BL398" s="3">
        <f t="shared" si="60"/>
        <v>0.94333424358242735</v>
      </c>
      <c r="BM398" s="3">
        <f t="shared" si="61"/>
        <v>-0.86045511556684906</v>
      </c>
      <c r="BN398" s="3">
        <f t="shared" si="62"/>
        <v>41.395448844331511</v>
      </c>
      <c r="BO398" s="2" t="str">
        <f t="shared" si="63"/>
        <v>NC</v>
      </c>
    </row>
    <row r="399" spans="1:67" x14ac:dyDescent="0.35">
      <c r="A399" s="15">
        <v>398</v>
      </c>
      <c r="B399" s="10" t="s">
        <v>367</v>
      </c>
      <c r="C399" s="11">
        <v>17</v>
      </c>
      <c r="D399" s="11">
        <v>1</v>
      </c>
      <c r="E399" s="11">
        <v>1</v>
      </c>
      <c r="F399" s="11">
        <v>1</v>
      </c>
      <c r="G399" s="11">
        <v>1</v>
      </c>
      <c r="H399" s="11">
        <v>1</v>
      </c>
      <c r="I399" s="11">
        <v>0</v>
      </c>
      <c r="J399" s="11">
        <v>1</v>
      </c>
      <c r="K399" s="11">
        <v>1</v>
      </c>
      <c r="L399" s="11">
        <v>0</v>
      </c>
      <c r="M399" s="11">
        <v>1</v>
      </c>
      <c r="N399" s="11">
        <v>1</v>
      </c>
      <c r="O399" s="11">
        <v>0</v>
      </c>
      <c r="P399" s="11">
        <v>0</v>
      </c>
      <c r="Q399" s="11">
        <v>1</v>
      </c>
      <c r="R399" s="11">
        <v>0</v>
      </c>
      <c r="S399" s="11">
        <v>1</v>
      </c>
      <c r="T399" s="11">
        <v>0</v>
      </c>
      <c r="U399" s="11">
        <v>0</v>
      </c>
      <c r="V399" s="11">
        <v>1</v>
      </c>
      <c r="W399" s="11">
        <v>0</v>
      </c>
      <c r="X399" s="11">
        <v>0</v>
      </c>
      <c r="Y399" s="11">
        <v>0</v>
      </c>
      <c r="Z399" s="11">
        <v>1</v>
      </c>
      <c r="AA399" s="11">
        <v>0</v>
      </c>
      <c r="AB399" s="11">
        <v>1</v>
      </c>
      <c r="AC399" s="11">
        <v>0</v>
      </c>
      <c r="AD399" s="11">
        <v>0</v>
      </c>
      <c r="AE399" s="11">
        <v>1</v>
      </c>
      <c r="AF399" s="11">
        <v>0</v>
      </c>
      <c r="AG399" s="11">
        <v>0</v>
      </c>
      <c r="AH399" s="11">
        <v>1</v>
      </c>
      <c r="AI399" s="11">
        <v>1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5">
        <f t="shared" si="64"/>
        <v>46.529704314032998</v>
      </c>
      <c r="BH399" s="3">
        <f t="shared" si="65"/>
        <v>11.882687156312754</v>
      </c>
      <c r="BI399" s="3">
        <f t="shared" si="66"/>
        <v>43.117312843687245</v>
      </c>
      <c r="BJ399" s="3">
        <f t="shared" si="58"/>
        <v>-1.28884212659673</v>
      </c>
      <c r="BK399" s="3">
        <f t="shared" si="59"/>
        <v>-0.45609683602320777</v>
      </c>
      <c r="BL399" s="3">
        <f t="shared" si="60"/>
        <v>0.94333424358242735</v>
      </c>
      <c r="BM399" s="3">
        <f t="shared" si="61"/>
        <v>-0.88276800745732498</v>
      </c>
      <c r="BN399" s="3">
        <f t="shared" si="62"/>
        <v>41.172319925426748</v>
      </c>
      <c r="BO399" s="2" t="str">
        <f t="shared" si="63"/>
        <v>NC</v>
      </c>
    </row>
    <row r="400" spans="1:67" x14ac:dyDescent="0.35">
      <c r="A400" s="15">
        <v>399</v>
      </c>
      <c r="B400" s="10" t="s">
        <v>368</v>
      </c>
      <c r="C400" s="11">
        <v>16</v>
      </c>
      <c r="D400" s="11">
        <v>0</v>
      </c>
      <c r="E400" s="11">
        <v>1</v>
      </c>
      <c r="F400" s="11">
        <v>1</v>
      </c>
      <c r="G400" s="11">
        <v>1</v>
      </c>
      <c r="H400" s="11">
        <v>1</v>
      </c>
      <c r="I400" s="11">
        <v>0</v>
      </c>
      <c r="J400" s="11">
        <v>0</v>
      </c>
      <c r="K400" s="11">
        <v>1</v>
      </c>
      <c r="L400" s="11">
        <v>0</v>
      </c>
      <c r="M400" s="11">
        <v>1</v>
      </c>
      <c r="N400" s="11">
        <v>1</v>
      </c>
      <c r="O400" s="11">
        <v>0</v>
      </c>
      <c r="P400" s="11">
        <v>0</v>
      </c>
      <c r="Q400" s="11">
        <v>1</v>
      </c>
      <c r="R400" s="11">
        <v>0</v>
      </c>
      <c r="S400" s="11">
        <v>0</v>
      </c>
      <c r="T400" s="11">
        <v>0</v>
      </c>
      <c r="U400" s="11">
        <v>1</v>
      </c>
      <c r="V400" s="11">
        <v>0</v>
      </c>
      <c r="W400" s="11">
        <v>0</v>
      </c>
      <c r="X400" s="11">
        <v>0</v>
      </c>
      <c r="Y400" s="11">
        <v>1</v>
      </c>
      <c r="Z400" s="11">
        <v>1</v>
      </c>
      <c r="AA400" s="11">
        <v>0</v>
      </c>
      <c r="AB400" s="11">
        <v>0</v>
      </c>
      <c r="AC400" s="11">
        <v>0</v>
      </c>
      <c r="AD400" s="11">
        <v>0</v>
      </c>
      <c r="AE400" s="11">
        <v>1</v>
      </c>
      <c r="AF400" s="11">
        <v>1</v>
      </c>
      <c r="AG400" s="11">
        <v>0</v>
      </c>
      <c r="AH400" s="11">
        <v>0</v>
      </c>
      <c r="AI400" s="11">
        <v>0</v>
      </c>
      <c r="AJ400" s="11">
        <v>1</v>
      </c>
      <c r="AK400" s="11">
        <v>0</v>
      </c>
      <c r="AL400" s="11">
        <v>0</v>
      </c>
      <c r="AM400" s="11">
        <v>0</v>
      </c>
      <c r="AN400" s="11">
        <v>0</v>
      </c>
      <c r="AO400" s="11">
        <v>1</v>
      </c>
      <c r="AP400" s="11">
        <v>0</v>
      </c>
      <c r="AQ400" s="11">
        <v>0</v>
      </c>
      <c r="AR400" s="11">
        <v>0</v>
      </c>
      <c r="AS400" s="11">
        <v>0</v>
      </c>
      <c r="AT400" s="11">
        <v>1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5">
        <f t="shared" si="64"/>
        <v>46.395289754463711</v>
      </c>
      <c r="BH400" s="3">
        <f t="shared" si="65"/>
        <v>11.848360564640567</v>
      </c>
      <c r="BI400" s="3">
        <f t="shared" si="66"/>
        <v>43.151639435359435</v>
      </c>
      <c r="BJ400" s="3">
        <f t="shared" si="58"/>
        <v>-1.2925309016400925</v>
      </c>
      <c r="BK400" s="3">
        <f t="shared" si="59"/>
        <v>-0.45609683602320777</v>
      </c>
      <c r="BL400" s="3">
        <f t="shared" si="60"/>
        <v>0.94333424358242735</v>
      </c>
      <c r="BM400" s="3">
        <f t="shared" si="61"/>
        <v>-0.88667836592088922</v>
      </c>
      <c r="BN400" s="3">
        <f t="shared" si="62"/>
        <v>41.133216340791108</v>
      </c>
      <c r="BO400" s="2" t="str">
        <f t="shared" si="63"/>
        <v>NC</v>
      </c>
    </row>
    <row r="401" spans="1:67" x14ac:dyDescent="0.35">
      <c r="A401" s="1">
        <v>400</v>
      </c>
      <c r="B401" s="10" t="s">
        <v>369</v>
      </c>
      <c r="C401" s="11">
        <v>17</v>
      </c>
      <c r="D401" s="11">
        <v>0</v>
      </c>
      <c r="E401" s="11">
        <v>1</v>
      </c>
      <c r="F401" s="11">
        <v>1</v>
      </c>
      <c r="G401" s="11">
        <v>1</v>
      </c>
      <c r="H401" s="11">
        <v>1</v>
      </c>
      <c r="I401" s="11">
        <v>1</v>
      </c>
      <c r="J401" s="11">
        <v>1</v>
      </c>
      <c r="K401" s="11">
        <v>1</v>
      </c>
      <c r="L401" s="11">
        <v>0</v>
      </c>
      <c r="M401" s="11">
        <v>1</v>
      </c>
      <c r="N401" s="11">
        <v>1</v>
      </c>
      <c r="O401" s="11">
        <v>0</v>
      </c>
      <c r="P401" s="11">
        <v>0</v>
      </c>
      <c r="Q401" s="11">
        <v>1</v>
      </c>
      <c r="R401" s="11">
        <v>0</v>
      </c>
      <c r="S401" s="11">
        <v>1</v>
      </c>
      <c r="T401" s="11">
        <v>1</v>
      </c>
      <c r="U401" s="11">
        <v>0</v>
      </c>
      <c r="V401" s="11">
        <v>0</v>
      </c>
      <c r="W401" s="11">
        <v>0</v>
      </c>
      <c r="X401" s="11">
        <v>1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1</v>
      </c>
      <c r="AE401" s="11">
        <v>1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1</v>
      </c>
      <c r="AM401" s="11">
        <v>1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5">
        <f t="shared" si="64"/>
        <v>46.201950549569247</v>
      </c>
      <c r="BH401" s="3">
        <f t="shared" si="65"/>
        <v>11.798985884085841</v>
      </c>
      <c r="BI401" s="3">
        <f t="shared" si="66"/>
        <v>43.201014115914163</v>
      </c>
      <c r="BJ401" s="3">
        <f t="shared" si="58"/>
        <v>-1.2978503841281859</v>
      </c>
      <c r="BK401" s="3">
        <f t="shared" si="59"/>
        <v>-0.45609683602320777</v>
      </c>
      <c r="BL401" s="3">
        <f t="shared" si="60"/>
        <v>0.94333424358242735</v>
      </c>
      <c r="BM401" s="3">
        <f t="shared" si="61"/>
        <v>-0.89231738785217407</v>
      </c>
      <c r="BN401" s="3">
        <f t="shared" si="62"/>
        <v>41.076826121478263</v>
      </c>
      <c r="BO401" s="2" t="str">
        <f t="shared" si="63"/>
        <v>NC</v>
      </c>
    </row>
    <row r="402" spans="1:67" x14ac:dyDescent="0.35">
      <c r="A402" s="15">
        <v>401</v>
      </c>
      <c r="B402" s="10" t="s">
        <v>370</v>
      </c>
      <c r="C402" s="11">
        <v>17</v>
      </c>
      <c r="D402" s="11">
        <v>1</v>
      </c>
      <c r="E402" s="11">
        <v>1</v>
      </c>
      <c r="F402" s="11">
        <v>1</v>
      </c>
      <c r="G402" s="11">
        <v>1</v>
      </c>
      <c r="H402" s="11">
        <v>1</v>
      </c>
      <c r="I402" s="11">
        <v>1</v>
      </c>
      <c r="J402" s="11">
        <v>1</v>
      </c>
      <c r="K402" s="11">
        <v>1</v>
      </c>
      <c r="L402" s="11">
        <v>0</v>
      </c>
      <c r="M402" s="11">
        <v>1</v>
      </c>
      <c r="N402" s="11">
        <v>0</v>
      </c>
      <c r="O402" s="11">
        <v>1</v>
      </c>
      <c r="P402" s="11">
        <v>1</v>
      </c>
      <c r="Q402" s="11">
        <v>1</v>
      </c>
      <c r="R402" s="11">
        <v>0</v>
      </c>
      <c r="S402" s="11">
        <v>1</v>
      </c>
      <c r="T402" s="11">
        <v>1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1</v>
      </c>
      <c r="AC402" s="11">
        <v>0</v>
      </c>
      <c r="AD402" s="11">
        <v>1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1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5">
        <f t="shared" si="64"/>
        <v>45.786281796046026</v>
      </c>
      <c r="BH402" s="3">
        <f t="shared" si="65"/>
        <v>11.692833011816647</v>
      </c>
      <c r="BI402" s="3">
        <f t="shared" si="66"/>
        <v>43.307166988183354</v>
      </c>
      <c r="BJ402" s="3">
        <f t="shared" si="58"/>
        <v>-1.3093420496515182</v>
      </c>
      <c r="BK402" s="3">
        <f t="shared" si="59"/>
        <v>-0.45609683602320777</v>
      </c>
      <c r="BL402" s="3">
        <f t="shared" si="60"/>
        <v>0.94333424358242735</v>
      </c>
      <c r="BM402" s="3">
        <f t="shared" si="61"/>
        <v>-0.90449935368402101</v>
      </c>
      <c r="BN402" s="3">
        <f t="shared" si="62"/>
        <v>40.955006463159791</v>
      </c>
      <c r="BO402" s="2" t="str">
        <f t="shared" si="63"/>
        <v>NC</v>
      </c>
    </row>
    <row r="403" spans="1:67" x14ac:dyDescent="0.35">
      <c r="A403" s="15">
        <v>402</v>
      </c>
      <c r="B403" s="10" t="s">
        <v>371</v>
      </c>
      <c r="C403" s="11">
        <v>17</v>
      </c>
      <c r="D403" s="11">
        <v>1</v>
      </c>
      <c r="E403" s="11">
        <v>1</v>
      </c>
      <c r="F403" s="11">
        <v>1</v>
      </c>
      <c r="G403" s="11">
        <v>1</v>
      </c>
      <c r="H403" s="11">
        <v>1</v>
      </c>
      <c r="I403" s="11">
        <v>0</v>
      </c>
      <c r="J403" s="11">
        <v>0</v>
      </c>
      <c r="K403" s="11">
        <v>1</v>
      </c>
      <c r="L403" s="11">
        <v>1</v>
      </c>
      <c r="M403" s="11">
        <v>1</v>
      </c>
      <c r="N403" s="11">
        <v>1</v>
      </c>
      <c r="O403" s="11">
        <v>0</v>
      </c>
      <c r="P403" s="11">
        <v>1</v>
      </c>
      <c r="Q403" s="11">
        <v>1</v>
      </c>
      <c r="R403" s="11">
        <v>0</v>
      </c>
      <c r="S403" s="11">
        <v>0</v>
      </c>
      <c r="T403" s="11">
        <v>1</v>
      </c>
      <c r="U403" s="11">
        <v>0</v>
      </c>
      <c r="V403" s="11">
        <v>1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1</v>
      </c>
      <c r="AD403" s="11">
        <v>1</v>
      </c>
      <c r="AE403" s="11">
        <v>1</v>
      </c>
      <c r="AF403" s="11">
        <v>0</v>
      </c>
      <c r="AG403" s="11">
        <v>0</v>
      </c>
      <c r="AH403" s="11">
        <v>0</v>
      </c>
      <c r="AI403" s="11">
        <v>1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AZ403" s="11">
        <v>0</v>
      </c>
      <c r="BA403" s="11">
        <v>0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5">
        <f t="shared" si="64"/>
        <v>45.747457035139561</v>
      </c>
      <c r="BH403" s="3">
        <f t="shared" si="65"/>
        <v>11.682918001726392</v>
      </c>
      <c r="BI403" s="3">
        <f t="shared" si="66"/>
        <v>43.317081998273608</v>
      </c>
      <c r="BJ403" s="3">
        <f t="shared" si="58"/>
        <v>-1.3104192855237957</v>
      </c>
      <c r="BK403" s="3">
        <f t="shared" si="59"/>
        <v>-0.45609683602320777</v>
      </c>
      <c r="BL403" s="3">
        <f t="shared" si="60"/>
        <v>0.94333424358242735</v>
      </c>
      <c r="BM403" s="3">
        <f t="shared" si="61"/>
        <v>-0.90564129873648358</v>
      </c>
      <c r="BN403" s="3">
        <f t="shared" si="62"/>
        <v>40.943587012635163</v>
      </c>
      <c r="BO403" s="2" t="str">
        <f t="shared" si="63"/>
        <v>NC</v>
      </c>
    </row>
    <row r="404" spans="1:67" x14ac:dyDescent="0.35">
      <c r="A404" s="1">
        <v>403</v>
      </c>
      <c r="B404" s="10" t="s">
        <v>372</v>
      </c>
      <c r="C404" s="11">
        <v>15</v>
      </c>
      <c r="D404" s="11">
        <v>0</v>
      </c>
      <c r="E404" s="11">
        <v>0</v>
      </c>
      <c r="F404" s="11">
        <v>1</v>
      </c>
      <c r="G404" s="11">
        <v>1</v>
      </c>
      <c r="H404" s="11">
        <v>0</v>
      </c>
      <c r="I404" s="11">
        <v>1</v>
      </c>
      <c r="J404" s="11">
        <v>0</v>
      </c>
      <c r="K404" s="11">
        <v>1</v>
      </c>
      <c r="L404" s="11">
        <v>0</v>
      </c>
      <c r="M404" s="11">
        <v>0</v>
      </c>
      <c r="N404" s="11">
        <v>1</v>
      </c>
      <c r="O404" s="11">
        <v>1</v>
      </c>
      <c r="P404" s="11">
        <v>0</v>
      </c>
      <c r="Q404" s="11">
        <v>1</v>
      </c>
      <c r="R404" s="11">
        <v>1</v>
      </c>
      <c r="S404" s="11">
        <v>0</v>
      </c>
      <c r="T404" s="11">
        <v>0</v>
      </c>
      <c r="U404" s="11">
        <v>1</v>
      </c>
      <c r="V404" s="11">
        <v>1</v>
      </c>
      <c r="W404" s="11">
        <v>1</v>
      </c>
      <c r="X404" s="11">
        <v>0</v>
      </c>
      <c r="Y404" s="11">
        <v>1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1</v>
      </c>
      <c r="AH404" s="11">
        <v>0</v>
      </c>
      <c r="AI404" s="11">
        <v>1</v>
      </c>
      <c r="AJ404" s="11">
        <v>0</v>
      </c>
      <c r="AK404" s="11">
        <v>0</v>
      </c>
      <c r="AL404" s="11">
        <v>0</v>
      </c>
      <c r="AM404" s="11">
        <v>1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>
        <v>0</v>
      </c>
      <c r="AV404" s="11">
        <v>0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5">
        <f t="shared" si="64"/>
        <v>45.657023040523754</v>
      </c>
      <c r="BH404" s="3">
        <f t="shared" si="65"/>
        <v>11.659823101766085</v>
      </c>
      <c r="BI404" s="3">
        <f t="shared" si="66"/>
        <v>43.340176898233914</v>
      </c>
      <c r="BJ404" s="3">
        <f t="shared" si="58"/>
        <v>-1.3129310683067366</v>
      </c>
      <c r="BK404" s="3">
        <f t="shared" si="59"/>
        <v>-0.45609683602320777</v>
      </c>
      <c r="BL404" s="3">
        <f t="shared" si="60"/>
        <v>0.94333424358242735</v>
      </c>
      <c r="BM404" s="3">
        <f t="shared" si="61"/>
        <v>-0.90830396342827091</v>
      </c>
      <c r="BN404" s="3">
        <f t="shared" si="62"/>
        <v>40.916960365717287</v>
      </c>
      <c r="BO404" s="2" t="str">
        <f t="shared" si="63"/>
        <v>NC</v>
      </c>
    </row>
    <row r="405" spans="1:67" x14ac:dyDescent="0.35">
      <c r="A405" s="15">
        <v>404</v>
      </c>
      <c r="B405" s="10" t="s">
        <v>373</v>
      </c>
      <c r="C405" s="11">
        <v>15</v>
      </c>
      <c r="D405" s="11">
        <v>1</v>
      </c>
      <c r="E405" s="11">
        <v>1</v>
      </c>
      <c r="F405" s="11">
        <v>1</v>
      </c>
      <c r="G405" s="11">
        <v>1</v>
      </c>
      <c r="H405" s="11">
        <v>1</v>
      </c>
      <c r="I405" s="11">
        <v>0</v>
      </c>
      <c r="J405" s="11">
        <v>0</v>
      </c>
      <c r="K405" s="11">
        <v>1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1</v>
      </c>
      <c r="R405" s="11">
        <v>1</v>
      </c>
      <c r="S405" s="11">
        <v>1</v>
      </c>
      <c r="T405" s="11">
        <v>0</v>
      </c>
      <c r="U405" s="11">
        <v>0</v>
      </c>
      <c r="V405" s="11">
        <v>1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1</v>
      </c>
      <c r="AD405" s="11">
        <v>0</v>
      </c>
      <c r="AE405" s="11">
        <v>0</v>
      </c>
      <c r="AF405" s="11">
        <v>0</v>
      </c>
      <c r="AG405" s="11">
        <v>1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1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1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1</v>
      </c>
      <c r="BG405" s="5">
        <f t="shared" si="64"/>
        <v>45.310023105437558</v>
      </c>
      <c r="BH405" s="3">
        <f t="shared" si="65"/>
        <v>11.571206770915117</v>
      </c>
      <c r="BI405" s="3">
        <f t="shared" si="66"/>
        <v>43.428793229084881</v>
      </c>
      <c r="BJ405" s="3">
        <f t="shared" si="58"/>
        <v>-1.3226028220987207</v>
      </c>
      <c r="BK405" s="3">
        <f t="shared" si="59"/>
        <v>-0.45609683602320777</v>
      </c>
      <c r="BL405" s="3">
        <f t="shared" si="60"/>
        <v>0.94333424358242735</v>
      </c>
      <c r="BM405" s="3">
        <f t="shared" si="61"/>
        <v>-0.9185566960707906</v>
      </c>
      <c r="BN405" s="3">
        <f t="shared" si="62"/>
        <v>40.814433039292098</v>
      </c>
      <c r="BO405" s="2" t="str">
        <f t="shared" si="63"/>
        <v>NC</v>
      </c>
    </row>
    <row r="406" spans="1:67" x14ac:dyDescent="0.35">
      <c r="A406" s="15">
        <v>405</v>
      </c>
      <c r="B406" s="10" t="s">
        <v>374</v>
      </c>
      <c r="C406" s="11">
        <v>13</v>
      </c>
      <c r="D406" s="11">
        <v>1</v>
      </c>
      <c r="E406" s="11">
        <v>0</v>
      </c>
      <c r="F406" s="11">
        <v>1</v>
      </c>
      <c r="G406" s="11">
        <v>0</v>
      </c>
      <c r="H406" s="11">
        <v>1</v>
      </c>
      <c r="I406" s="11">
        <v>1</v>
      </c>
      <c r="J406" s="11">
        <v>0</v>
      </c>
      <c r="K406" s="11">
        <v>0</v>
      </c>
      <c r="L406" s="11">
        <v>1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1</v>
      </c>
      <c r="X406" s="11">
        <v>0</v>
      </c>
      <c r="Y406" s="11">
        <v>0</v>
      </c>
      <c r="Z406" s="11">
        <v>1</v>
      </c>
      <c r="AA406" s="11">
        <v>0</v>
      </c>
      <c r="AB406" s="11">
        <v>1</v>
      </c>
      <c r="AC406" s="11">
        <v>0</v>
      </c>
      <c r="AD406" s="11">
        <v>0</v>
      </c>
      <c r="AE406" s="11">
        <v>1</v>
      </c>
      <c r="AF406" s="11">
        <v>1</v>
      </c>
      <c r="AG406" s="11">
        <v>0</v>
      </c>
      <c r="AH406" s="11">
        <v>0</v>
      </c>
      <c r="AI406" s="11">
        <v>1</v>
      </c>
      <c r="AJ406" s="11">
        <v>0</v>
      </c>
      <c r="AK406" s="11">
        <v>0</v>
      </c>
      <c r="AL406" s="11">
        <v>0</v>
      </c>
      <c r="AM406" s="11">
        <v>1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1</v>
      </c>
      <c r="BG406" s="5">
        <f t="shared" si="64"/>
        <v>45.277109713921838</v>
      </c>
      <c r="BH406" s="3">
        <f t="shared" si="65"/>
        <v>11.562801397607886</v>
      </c>
      <c r="BI406" s="3">
        <f t="shared" si="66"/>
        <v>43.437198602392115</v>
      </c>
      <c r="BJ406" s="3">
        <f t="shared" si="58"/>
        <v>-1.3235230153320212</v>
      </c>
      <c r="BK406" s="3">
        <f t="shared" si="59"/>
        <v>-0.45609683602320777</v>
      </c>
      <c r="BL406" s="3">
        <f t="shared" si="60"/>
        <v>0.94333424358242735</v>
      </c>
      <c r="BM406" s="3">
        <f t="shared" si="61"/>
        <v>-0.91953216498815538</v>
      </c>
      <c r="BN406" s="3">
        <f t="shared" si="62"/>
        <v>40.804678350118451</v>
      </c>
      <c r="BO406" s="2" t="str">
        <f t="shared" si="63"/>
        <v>NC</v>
      </c>
    </row>
    <row r="407" spans="1:67" x14ac:dyDescent="0.35">
      <c r="A407" s="1">
        <v>406</v>
      </c>
      <c r="B407" s="10" t="s">
        <v>375</v>
      </c>
      <c r="C407" s="11">
        <v>17</v>
      </c>
      <c r="D407" s="11">
        <v>1</v>
      </c>
      <c r="E407" s="11">
        <v>1</v>
      </c>
      <c r="F407" s="11">
        <v>1</v>
      </c>
      <c r="G407" s="11">
        <v>1</v>
      </c>
      <c r="H407" s="11">
        <v>1</v>
      </c>
      <c r="I407" s="11">
        <v>0</v>
      </c>
      <c r="J407" s="11">
        <v>1</v>
      </c>
      <c r="K407" s="11">
        <v>0</v>
      </c>
      <c r="L407" s="11">
        <v>0</v>
      </c>
      <c r="M407" s="11">
        <v>1</v>
      </c>
      <c r="N407" s="11">
        <v>1</v>
      </c>
      <c r="O407" s="11">
        <v>0</v>
      </c>
      <c r="P407" s="11">
        <v>0</v>
      </c>
      <c r="Q407" s="11">
        <v>1</v>
      </c>
      <c r="R407" s="11">
        <v>0</v>
      </c>
      <c r="S407" s="11">
        <v>1</v>
      </c>
      <c r="T407" s="11">
        <v>1</v>
      </c>
      <c r="U407" s="11">
        <v>1</v>
      </c>
      <c r="V407" s="11">
        <v>0</v>
      </c>
      <c r="W407" s="11">
        <v>0</v>
      </c>
      <c r="X407" s="11">
        <v>1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1</v>
      </c>
      <c r="AF407" s="11">
        <v>1</v>
      </c>
      <c r="AG407" s="11">
        <v>1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1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5">
        <f t="shared" si="64"/>
        <v>45.249567906305565</v>
      </c>
      <c r="BH407" s="3">
        <f t="shared" si="65"/>
        <v>11.555767811462253</v>
      </c>
      <c r="BI407" s="3">
        <f t="shared" si="66"/>
        <v>43.444232188537747</v>
      </c>
      <c r="BJ407" s="3">
        <f t="shared" si="58"/>
        <v>-1.3242934070153032</v>
      </c>
      <c r="BK407" s="3">
        <f t="shared" si="59"/>
        <v>-0.45609683602320777</v>
      </c>
      <c r="BL407" s="3">
        <f t="shared" si="60"/>
        <v>0.94333424358242735</v>
      </c>
      <c r="BM407" s="3">
        <f t="shared" si="61"/>
        <v>-0.92034883382904931</v>
      </c>
      <c r="BN407" s="3">
        <f t="shared" si="62"/>
        <v>40.796511661709509</v>
      </c>
      <c r="BO407" s="2" t="str">
        <f t="shared" si="63"/>
        <v>NC</v>
      </c>
    </row>
    <row r="408" spans="1:67" x14ac:dyDescent="0.35">
      <c r="A408" s="15">
        <v>407</v>
      </c>
      <c r="B408" s="10" t="s">
        <v>376</v>
      </c>
      <c r="C408" s="11">
        <v>16</v>
      </c>
      <c r="D408" s="11">
        <v>1</v>
      </c>
      <c r="E408" s="11">
        <v>0</v>
      </c>
      <c r="F408" s="11">
        <v>1</v>
      </c>
      <c r="G408" s="11">
        <v>1</v>
      </c>
      <c r="H408" s="11">
        <v>1</v>
      </c>
      <c r="I408" s="11">
        <v>0</v>
      </c>
      <c r="J408" s="11">
        <v>1</v>
      </c>
      <c r="K408" s="11">
        <v>0</v>
      </c>
      <c r="L408" s="11">
        <v>1</v>
      </c>
      <c r="M408" s="11">
        <v>1</v>
      </c>
      <c r="N408" s="11">
        <v>1</v>
      </c>
      <c r="O408" s="11">
        <v>0</v>
      </c>
      <c r="P408" s="11">
        <v>1</v>
      </c>
      <c r="Q408" s="11">
        <v>1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1</v>
      </c>
      <c r="Y408" s="11">
        <v>0</v>
      </c>
      <c r="Z408" s="11">
        <v>0</v>
      </c>
      <c r="AA408" s="11">
        <v>0</v>
      </c>
      <c r="AB408" s="11">
        <v>0</v>
      </c>
      <c r="AC408" s="11">
        <v>1</v>
      </c>
      <c r="AD408" s="11">
        <v>0</v>
      </c>
      <c r="AE408" s="11">
        <v>0</v>
      </c>
      <c r="AF408" s="11">
        <v>1</v>
      </c>
      <c r="AG408" s="11">
        <v>1</v>
      </c>
      <c r="AH408" s="11">
        <v>0</v>
      </c>
      <c r="AI408" s="11">
        <v>0</v>
      </c>
      <c r="AJ408" s="11">
        <v>0</v>
      </c>
      <c r="AK408" s="11">
        <v>0</v>
      </c>
      <c r="AL408" s="11">
        <v>1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1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5">
        <f t="shared" si="64"/>
        <v>44.857173892676649</v>
      </c>
      <c r="BH408" s="3">
        <f t="shared" si="65"/>
        <v>11.455558807886959</v>
      </c>
      <c r="BI408" s="3">
        <f t="shared" si="66"/>
        <v>43.544441192113041</v>
      </c>
      <c r="BJ408" s="3">
        <f t="shared" si="58"/>
        <v>-1.3353069555841235</v>
      </c>
      <c r="BK408" s="3">
        <f t="shared" si="59"/>
        <v>-0.45609683602320777</v>
      </c>
      <c r="BL408" s="3">
        <f t="shared" si="60"/>
        <v>0.94333424358242735</v>
      </c>
      <c r="BM408" s="3">
        <f t="shared" si="61"/>
        <v>-0.9320239623889911</v>
      </c>
      <c r="BN408" s="3">
        <f t="shared" si="62"/>
        <v>40.679760376110089</v>
      </c>
      <c r="BO408" s="2" t="str">
        <f t="shared" si="63"/>
        <v>NC</v>
      </c>
    </row>
    <row r="409" spans="1:67" x14ac:dyDescent="0.35">
      <c r="A409" s="15">
        <v>408</v>
      </c>
      <c r="B409" s="10" t="s">
        <v>377</v>
      </c>
      <c r="C409" s="11">
        <v>15</v>
      </c>
      <c r="D409" s="11">
        <v>1</v>
      </c>
      <c r="E409" s="11">
        <v>0</v>
      </c>
      <c r="F409" s="11">
        <v>1</v>
      </c>
      <c r="G409" s="11">
        <v>1</v>
      </c>
      <c r="H409" s="11">
        <v>0</v>
      </c>
      <c r="I409" s="11">
        <v>0</v>
      </c>
      <c r="J409" s="11">
        <v>0</v>
      </c>
      <c r="K409" s="11">
        <v>1</v>
      </c>
      <c r="L409" s="11">
        <v>1</v>
      </c>
      <c r="M409" s="11">
        <v>1</v>
      </c>
      <c r="N409" s="11">
        <v>1</v>
      </c>
      <c r="O409" s="11">
        <v>1</v>
      </c>
      <c r="P409" s="11">
        <v>1</v>
      </c>
      <c r="Q409" s="11">
        <v>0</v>
      </c>
      <c r="R409" s="11">
        <v>0</v>
      </c>
      <c r="S409" s="11">
        <v>1</v>
      </c>
      <c r="T409" s="11">
        <v>0</v>
      </c>
      <c r="U409" s="11">
        <v>1</v>
      </c>
      <c r="V409" s="11">
        <v>0</v>
      </c>
      <c r="W409" s="11">
        <v>0</v>
      </c>
      <c r="X409" s="11">
        <v>1</v>
      </c>
      <c r="Y409" s="11">
        <v>0</v>
      </c>
      <c r="Z409" s="11">
        <v>0</v>
      </c>
      <c r="AA409" s="11">
        <v>1</v>
      </c>
      <c r="AB409" s="11">
        <v>0</v>
      </c>
      <c r="AC409" s="11">
        <v>0</v>
      </c>
      <c r="AD409" s="11">
        <v>1</v>
      </c>
      <c r="AE409" s="11">
        <v>0</v>
      </c>
      <c r="AF409" s="11">
        <v>0</v>
      </c>
      <c r="AG409" s="11">
        <v>0</v>
      </c>
      <c r="AH409" s="11">
        <v>1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5">
        <f t="shared" si="64"/>
        <v>44.711121345945301</v>
      </c>
      <c r="BH409" s="3">
        <f t="shared" si="65"/>
        <v>11.418260124244393</v>
      </c>
      <c r="BI409" s="3">
        <f t="shared" si="66"/>
        <v>43.581739875755609</v>
      </c>
      <c r="BJ409" s="3">
        <f t="shared" si="58"/>
        <v>-1.3394244132131694</v>
      </c>
      <c r="BK409" s="3">
        <f t="shared" si="59"/>
        <v>-0.45609683602320777</v>
      </c>
      <c r="BL409" s="3">
        <f t="shared" si="60"/>
        <v>0.94333424358242735</v>
      </c>
      <c r="BM409" s="3">
        <f t="shared" si="61"/>
        <v>-0.93638875425047319</v>
      </c>
      <c r="BN409" s="3">
        <f t="shared" si="62"/>
        <v>40.636112457495273</v>
      </c>
      <c r="BO409" s="2" t="str">
        <f t="shared" si="63"/>
        <v>NC</v>
      </c>
    </row>
    <row r="410" spans="1:67" x14ac:dyDescent="0.35">
      <c r="A410" s="1">
        <v>409</v>
      </c>
      <c r="B410" s="10" t="s">
        <v>378</v>
      </c>
      <c r="C410" s="11">
        <v>14</v>
      </c>
      <c r="D410" s="11">
        <v>0</v>
      </c>
      <c r="E410" s="11">
        <v>0</v>
      </c>
      <c r="F410" s="11">
        <v>0</v>
      </c>
      <c r="G410" s="11">
        <v>1</v>
      </c>
      <c r="H410" s="11">
        <v>1</v>
      </c>
      <c r="I410" s="11">
        <v>0</v>
      </c>
      <c r="J410" s="11">
        <v>0</v>
      </c>
      <c r="K410" s="11">
        <v>0</v>
      </c>
      <c r="L410" s="11">
        <v>1</v>
      </c>
      <c r="M410" s="11">
        <v>1</v>
      </c>
      <c r="N410" s="11">
        <v>1</v>
      </c>
      <c r="O410" s="11">
        <v>1</v>
      </c>
      <c r="P410" s="11">
        <v>0</v>
      </c>
      <c r="Q410" s="11">
        <v>0</v>
      </c>
      <c r="R410" s="11">
        <v>0</v>
      </c>
      <c r="S410" s="11">
        <v>0</v>
      </c>
      <c r="T410" s="11">
        <v>1</v>
      </c>
      <c r="U410" s="11">
        <v>0</v>
      </c>
      <c r="V410" s="11">
        <v>0</v>
      </c>
      <c r="W410" s="11">
        <v>1</v>
      </c>
      <c r="X410" s="11">
        <v>0</v>
      </c>
      <c r="Y410" s="11">
        <v>0</v>
      </c>
      <c r="Z410" s="11">
        <v>1</v>
      </c>
      <c r="AA410" s="11">
        <v>0</v>
      </c>
      <c r="AB410" s="11">
        <v>1</v>
      </c>
      <c r="AC410" s="11">
        <v>0</v>
      </c>
      <c r="AD410" s="11">
        <v>1</v>
      </c>
      <c r="AE410" s="11">
        <v>0</v>
      </c>
      <c r="AF410" s="11">
        <v>0</v>
      </c>
      <c r="AG410" s="11">
        <v>1</v>
      </c>
      <c r="AH410" s="11">
        <v>0</v>
      </c>
      <c r="AI410" s="11">
        <v>1</v>
      </c>
      <c r="AJ410" s="11">
        <v>1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5">
        <f t="shared" si="64"/>
        <v>44.043064982050325</v>
      </c>
      <c r="BH410" s="3">
        <f t="shared" si="65"/>
        <v>11.247652876853101</v>
      </c>
      <c r="BI410" s="3">
        <f t="shared" si="66"/>
        <v>43.752347123146897</v>
      </c>
      <c r="BJ410" s="3">
        <f t="shared" si="58"/>
        <v>-1.3583857861787758</v>
      </c>
      <c r="BK410" s="3">
        <f t="shared" si="59"/>
        <v>-0.45609683602320777</v>
      </c>
      <c r="BL410" s="3">
        <f t="shared" si="60"/>
        <v>0.94333424358242735</v>
      </c>
      <c r="BM410" s="3">
        <f t="shared" si="61"/>
        <v>-0.95648913022495097</v>
      </c>
      <c r="BN410" s="3">
        <f t="shared" si="62"/>
        <v>40.435108697750493</v>
      </c>
      <c r="BO410" s="2" t="str">
        <f t="shared" si="63"/>
        <v>NC</v>
      </c>
    </row>
    <row r="411" spans="1:67" x14ac:dyDescent="0.35">
      <c r="A411" s="15">
        <v>410</v>
      </c>
      <c r="B411" s="10" t="s">
        <v>379</v>
      </c>
      <c r="C411" s="11">
        <v>15</v>
      </c>
      <c r="D411" s="11">
        <v>1</v>
      </c>
      <c r="E411" s="11">
        <v>1</v>
      </c>
      <c r="F411" s="11">
        <v>0</v>
      </c>
      <c r="G411" s="11">
        <v>0</v>
      </c>
      <c r="H411" s="11">
        <v>1</v>
      </c>
      <c r="I411" s="11">
        <v>1</v>
      </c>
      <c r="J411" s="11">
        <v>0</v>
      </c>
      <c r="K411" s="11">
        <v>1</v>
      </c>
      <c r="L411" s="11">
        <v>1</v>
      </c>
      <c r="M411" s="11">
        <v>1</v>
      </c>
      <c r="N411" s="11">
        <v>1</v>
      </c>
      <c r="O411" s="11">
        <v>0</v>
      </c>
      <c r="P411" s="11">
        <v>1</v>
      </c>
      <c r="Q411" s="11">
        <v>1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1</v>
      </c>
      <c r="AA411" s="11">
        <v>1</v>
      </c>
      <c r="AB411" s="11">
        <v>0</v>
      </c>
      <c r="AC411" s="11">
        <v>0</v>
      </c>
      <c r="AD411" s="11">
        <v>1</v>
      </c>
      <c r="AE411" s="11">
        <v>1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1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5">
        <f t="shared" si="64"/>
        <v>43.739236995376217</v>
      </c>
      <c r="BH411" s="3">
        <f t="shared" si="65"/>
        <v>11.170061734416119</v>
      </c>
      <c r="BI411" s="3">
        <f t="shared" si="66"/>
        <v>43.829938265583877</v>
      </c>
      <c r="BJ411" s="3">
        <f t="shared" si="58"/>
        <v>-1.3670799660616755</v>
      </c>
      <c r="BK411" s="3">
        <f t="shared" si="59"/>
        <v>-0.45609683602320777</v>
      </c>
      <c r="BL411" s="3">
        <f t="shared" si="60"/>
        <v>0.94333424358242735</v>
      </c>
      <c r="BM411" s="3">
        <f t="shared" si="61"/>
        <v>-0.96570556643729755</v>
      </c>
      <c r="BN411" s="3">
        <f t="shared" si="62"/>
        <v>40.342944335627024</v>
      </c>
      <c r="BO411" s="2" t="str">
        <f t="shared" si="63"/>
        <v>NC</v>
      </c>
    </row>
    <row r="412" spans="1:67" x14ac:dyDescent="0.35">
      <c r="A412" s="15">
        <v>411</v>
      </c>
      <c r="B412" s="10" t="s">
        <v>380</v>
      </c>
      <c r="C412" s="11">
        <v>13</v>
      </c>
      <c r="D412" s="11">
        <v>1</v>
      </c>
      <c r="E412" s="11">
        <v>1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1</v>
      </c>
      <c r="N412" s="11">
        <v>0</v>
      </c>
      <c r="O412" s="11">
        <v>0</v>
      </c>
      <c r="P412" s="11">
        <v>0</v>
      </c>
      <c r="Q412" s="11">
        <v>0</v>
      </c>
      <c r="R412" s="11">
        <v>1</v>
      </c>
      <c r="S412" s="11">
        <v>0</v>
      </c>
      <c r="T412" s="11">
        <v>1</v>
      </c>
      <c r="U412" s="11">
        <v>1</v>
      </c>
      <c r="V412" s="11">
        <v>0</v>
      </c>
      <c r="W412" s="11">
        <v>1</v>
      </c>
      <c r="X412" s="11">
        <v>0</v>
      </c>
      <c r="Y412" s="11">
        <v>1</v>
      </c>
      <c r="Z412" s="11">
        <v>0</v>
      </c>
      <c r="AA412" s="11">
        <v>0</v>
      </c>
      <c r="AB412" s="11">
        <v>1</v>
      </c>
      <c r="AC412" s="11">
        <v>1</v>
      </c>
      <c r="AD412" s="11">
        <v>0</v>
      </c>
      <c r="AE412" s="11">
        <v>0</v>
      </c>
      <c r="AF412" s="11">
        <v>1</v>
      </c>
      <c r="AG412" s="11">
        <v>1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1</v>
      </c>
      <c r="BE412" s="11">
        <v>0</v>
      </c>
      <c r="BF412" s="11">
        <v>0</v>
      </c>
      <c r="BG412" s="5">
        <f t="shared" si="64"/>
        <v>43.672134376628691</v>
      </c>
      <c r="BH412" s="3">
        <f t="shared" si="65"/>
        <v>11.152925166761083</v>
      </c>
      <c r="BI412" s="3">
        <f t="shared" si="66"/>
        <v>43.847074833238921</v>
      </c>
      <c r="BJ412" s="3">
        <f t="shared" si="58"/>
        <v>-1.3690061978211239</v>
      </c>
      <c r="BK412" s="3">
        <f t="shared" si="59"/>
        <v>-0.45609683602320777</v>
      </c>
      <c r="BL412" s="3">
        <f t="shared" si="60"/>
        <v>0.94333424358242735</v>
      </c>
      <c r="BM412" s="3">
        <f t="shared" si="61"/>
        <v>-0.96774750626144013</v>
      </c>
      <c r="BN412" s="3">
        <f t="shared" si="62"/>
        <v>40.322524937385595</v>
      </c>
      <c r="BO412" s="2" t="str">
        <f t="shared" si="63"/>
        <v>NC</v>
      </c>
    </row>
    <row r="413" spans="1:67" x14ac:dyDescent="0.35">
      <c r="A413" s="1">
        <v>412</v>
      </c>
      <c r="B413" s="10" t="s">
        <v>381</v>
      </c>
      <c r="C413" s="11">
        <v>15</v>
      </c>
      <c r="D413" s="11">
        <v>1</v>
      </c>
      <c r="E413" s="11">
        <v>0</v>
      </c>
      <c r="F413" s="11">
        <v>1</v>
      </c>
      <c r="G413" s="11">
        <v>1</v>
      </c>
      <c r="H413" s="11">
        <v>1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1</v>
      </c>
      <c r="O413" s="11">
        <v>0</v>
      </c>
      <c r="P413" s="11">
        <v>0</v>
      </c>
      <c r="Q413" s="11">
        <v>1</v>
      </c>
      <c r="R413" s="11">
        <v>1</v>
      </c>
      <c r="S413" s="11">
        <v>1</v>
      </c>
      <c r="T413" s="11">
        <v>1</v>
      </c>
      <c r="U413" s="11">
        <v>0</v>
      </c>
      <c r="V413" s="11">
        <v>1</v>
      </c>
      <c r="W413" s="11">
        <v>0</v>
      </c>
      <c r="X413" s="11">
        <v>0</v>
      </c>
      <c r="Y413" s="11">
        <v>1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1</v>
      </c>
      <c r="AF413" s="11">
        <v>1</v>
      </c>
      <c r="AG413" s="11">
        <v>0</v>
      </c>
      <c r="AH413" s="11">
        <v>1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1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5">
        <f t="shared" si="64"/>
        <v>43.571096908057356</v>
      </c>
      <c r="BH413" s="3">
        <f t="shared" si="65"/>
        <v>11.127122367284946</v>
      </c>
      <c r="BI413" s="3">
        <f t="shared" si="66"/>
        <v>43.872877632715053</v>
      </c>
      <c r="BJ413" s="3">
        <f t="shared" si="58"/>
        <v>-1.3719107231279277</v>
      </c>
      <c r="BK413" s="3">
        <f t="shared" si="59"/>
        <v>-0.45609683602320777</v>
      </c>
      <c r="BL413" s="3">
        <f t="shared" si="60"/>
        <v>0.94333424358242735</v>
      </c>
      <c r="BM413" s="3">
        <f t="shared" si="61"/>
        <v>-0.97082650538244475</v>
      </c>
      <c r="BN413" s="3">
        <f t="shared" si="62"/>
        <v>40.291734946175552</v>
      </c>
      <c r="BO413" s="2" t="str">
        <f t="shared" si="63"/>
        <v>NC</v>
      </c>
    </row>
    <row r="414" spans="1:67" x14ac:dyDescent="0.35">
      <c r="A414" s="15">
        <v>413</v>
      </c>
      <c r="B414" s="10" t="s">
        <v>382</v>
      </c>
      <c r="C414" s="11">
        <v>14</v>
      </c>
      <c r="D414" s="11">
        <v>1</v>
      </c>
      <c r="E414" s="11">
        <v>0</v>
      </c>
      <c r="F414" s="11">
        <v>0</v>
      </c>
      <c r="G414" s="11">
        <v>0</v>
      </c>
      <c r="H414" s="11">
        <v>1</v>
      </c>
      <c r="I414" s="11">
        <v>0</v>
      </c>
      <c r="J414" s="11">
        <v>1</v>
      </c>
      <c r="K414" s="11">
        <v>0</v>
      </c>
      <c r="L414" s="11">
        <v>0</v>
      </c>
      <c r="M414" s="11">
        <v>0</v>
      </c>
      <c r="N414" s="11">
        <v>0</v>
      </c>
      <c r="O414" s="11">
        <v>1</v>
      </c>
      <c r="P414" s="11">
        <v>1</v>
      </c>
      <c r="Q414" s="11">
        <v>1</v>
      </c>
      <c r="R414" s="11">
        <v>0</v>
      </c>
      <c r="S414" s="11">
        <v>0</v>
      </c>
      <c r="T414" s="11">
        <v>0</v>
      </c>
      <c r="U414" s="11">
        <v>1</v>
      </c>
      <c r="V414" s="11">
        <v>1</v>
      </c>
      <c r="W414" s="11">
        <v>0</v>
      </c>
      <c r="X414" s="11">
        <v>1</v>
      </c>
      <c r="Y414" s="11">
        <v>0</v>
      </c>
      <c r="Z414" s="11">
        <v>1</v>
      </c>
      <c r="AA414" s="11">
        <v>0</v>
      </c>
      <c r="AB414" s="11">
        <v>0</v>
      </c>
      <c r="AC414" s="11">
        <v>0</v>
      </c>
      <c r="AD414" s="11">
        <v>0</v>
      </c>
      <c r="AE414" s="11">
        <v>1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1</v>
      </c>
      <c r="AM414" s="11">
        <v>1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1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5">
        <f t="shared" si="64"/>
        <v>43.431526139486756</v>
      </c>
      <c r="BH414" s="3">
        <f t="shared" si="65"/>
        <v>11.091478990574503</v>
      </c>
      <c r="BI414" s="3">
        <f t="shared" si="66"/>
        <v>43.908521009425499</v>
      </c>
      <c r="BJ414" s="3">
        <f t="shared" si="58"/>
        <v>-1.3759312466777514</v>
      </c>
      <c r="BK414" s="3">
        <f t="shared" si="59"/>
        <v>-0.45609683602320777</v>
      </c>
      <c r="BL414" s="3">
        <f t="shared" si="60"/>
        <v>0.94333424358242735</v>
      </c>
      <c r="BM414" s="3">
        <f t="shared" si="61"/>
        <v>-0.97508854036863934</v>
      </c>
      <c r="BN414" s="3">
        <f t="shared" si="62"/>
        <v>40.249114596313603</v>
      </c>
      <c r="BO414" s="2" t="str">
        <f t="shared" si="63"/>
        <v>NC</v>
      </c>
    </row>
    <row r="415" spans="1:67" x14ac:dyDescent="0.35">
      <c r="A415" s="15">
        <v>414</v>
      </c>
      <c r="B415" s="10" t="s">
        <v>383</v>
      </c>
      <c r="C415" s="11">
        <v>14</v>
      </c>
      <c r="D415" s="11">
        <v>0</v>
      </c>
      <c r="E415" s="11">
        <v>1</v>
      </c>
      <c r="F415" s="11">
        <v>1</v>
      </c>
      <c r="G415" s="11">
        <v>1</v>
      </c>
      <c r="H415" s="11">
        <v>0</v>
      </c>
      <c r="I415" s="11">
        <v>0</v>
      </c>
      <c r="J415" s="11">
        <v>1</v>
      </c>
      <c r="K415" s="11">
        <v>0</v>
      </c>
      <c r="L415" s="11">
        <v>0</v>
      </c>
      <c r="M415" s="11">
        <v>1</v>
      </c>
      <c r="N415" s="11">
        <v>1</v>
      </c>
      <c r="O415" s="11">
        <v>0</v>
      </c>
      <c r="P415" s="11">
        <v>0</v>
      </c>
      <c r="Q415" s="11">
        <v>0</v>
      </c>
      <c r="R415" s="11">
        <v>1</v>
      </c>
      <c r="S415" s="11">
        <v>0</v>
      </c>
      <c r="T415" s="11">
        <v>1</v>
      </c>
      <c r="U415" s="11">
        <v>1</v>
      </c>
      <c r="V415" s="11">
        <v>0</v>
      </c>
      <c r="W415" s="11">
        <v>0</v>
      </c>
      <c r="X415" s="11">
        <v>1</v>
      </c>
      <c r="Y415" s="11">
        <v>0</v>
      </c>
      <c r="Z415" s="11">
        <v>0</v>
      </c>
      <c r="AA415" s="11">
        <v>0</v>
      </c>
      <c r="AB415" s="11">
        <v>0</v>
      </c>
      <c r="AC415" s="11">
        <v>1</v>
      </c>
      <c r="AD415" s="11">
        <v>1</v>
      </c>
      <c r="AE415" s="11">
        <v>0</v>
      </c>
      <c r="AF415" s="11">
        <v>0</v>
      </c>
      <c r="AG415" s="11">
        <v>1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1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5">
        <f t="shared" si="64"/>
        <v>42.76839535398986</v>
      </c>
      <c r="BH415" s="3">
        <f t="shared" si="65"/>
        <v>10.922129630118691</v>
      </c>
      <c r="BI415" s="3">
        <f t="shared" si="66"/>
        <v>44.07787036988131</v>
      </c>
      <c r="BJ415" s="3">
        <f t="shared" si="58"/>
        <v>-1.3951668784588114</v>
      </c>
      <c r="BK415" s="3">
        <f t="shared" si="59"/>
        <v>-0.45609683602320777</v>
      </c>
      <c r="BL415" s="3">
        <f t="shared" si="60"/>
        <v>0.94333424358242735</v>
      </c>
      <c r="BM415" s="3">
        <f t="shared" si="61"/>
        <v>-0.99547964978920944</v>
      </c>
      <c r="BN415" s="3">
        <f t="shared" si="62"/>
        <v>40.04520350210791</v>
      </c>
      <c r="BO415" s="2" t="str">
        <f t="shared" si="63"/>
        <v>NC</v>
      </c>
    </row>
    <row r="416" spans="1:67" x14ac:dyDescent="0.35">
      <c r="A416" s="1">
        <v>415</v>
      </c>
      <c r="B416" s="10" t="s">
        <v>384</v>
      </c>
      <c r="C416" s="14">
        <v>17</v>
      </c>
      <c r="D416" s="11">
        <v>1</v>
      </c>
      <c r="E416" s="11">
        <v>1</v>
      </c>
      <c r="F416" s="11">
        <v>1</v>
      </c>
      <c r="G416" s="11">
        <v>1</v>
      </c>
      <c r="H416" s="11">
        <v>1</v>
      </c>
      <c r="I416" s="11">
        <v>1</v>
      </c>
      <c r="J416" s="11">
        <v>1</v>
      </c>
      <c r="K416" s="11">
        <v>1</v>
      </c>
      <c r="L416" s="11">
        <v>1</v>
      </c>
      <c r="M416" s="11">
        <v>1</v>
      </c>
      <c r="N416" s="11">
        <v>1</v>
      </c>
      <c r="O416" s="11">
        <v>1</v>
      </c>
      <c r="P416" s="11">
        <v>1</v>
      </c>
      <c r="Q416" s="11">
        <v>1</v>
      </c>
      <c r="R416" s="11">
        <v>1</v>
      </c>
      <c r="S416" s="11">
        <v>0</v>
      </c>
      <c r="T416" s="11">
        <v>1</v>
      </c>
      <c r="U416" s="11">
        <v>0</v>
      </c>
      <c r="V416" s="11">
        <v>1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5">
        <f t="shared" si="64"/>
        <v>42.742930396555991</v>
      </c>
      <c r="BH416" s="3">
        <f t="shared" si="65"/>
        <v>10.91562642690482</v>
      </c>
      <c r="BI416" s="3">
        <f t="shared" si="66"/>
        <v>44.084373573095178</v>
      </c>
      <c r="BJ416" s="3">
        <f t="shared" si="58"/>
        <v>-1.39590999917878</v>
      </c>
      <c r="BK416" s="3">
        <f t="shared" si="59"/>
        <v>-0.45609683602320777</v>
      </c>
      <c r="BL416" s="3">
        <f t="shared" si="60"/>
        <v>0.94333424358242735</v>
      </c>
      <c r="BM416" s="3">
        <f t="shared" si="61"/>
        <v>-0.99626740950960979</v>
      </c>
      <c r="BN416" s="3">
        <f t="shared" si="62"/>
        <v>40.037325904903902</v>
      </c>
      <c r="BO416" s="2" t="str">
        <f t="shared" si="63"/>
        <v>NC</v>
      </c>
    </row>
    <row r="417" spans="1:67" x14ac:dyDescent="0.35">
      <c r="A417" s="15">
        <v>416</v>
      </c>
      <c r="B417" s="10" t="s">
        <v>385</v>
      </c>
      <c r="C417" s="14">
        <v>15</v>
      </c>
      <c r="D417" s="11">
        <v>0</v>
      </c>
      <c r="E417" s="11">
        <v>1</v>
      </c>
      <c r="F417" s="11">
        <v>1</v>
      </c>
      <c r="G417" s="11">
        <v>0</v>
      </c>
      <c r="H417" s="11">
        <v>1</v>
      </c>
      <c r="I417" s="11">
        <v>1</v>
      </c>
      <c r="J417" s="11">
        <v>0</v>
      </c>
      <c r="K417" s="11">
        <v>0</v>
      </c>
      <c r="L417" s="11">
        <v>0</v>
      </c>
      <c r="M417" s="11">
        <v>1</v>
      </c>
      <c r="N417" s="11">
        <v>1</v>
      </c>
      <c r="O417" s="11">
        <v>0</v>
      </c>
      <c r="P417" s="11">
        <v>1</v>
      </c>
      <c r="Q417" s="11">
        <v>1</v>
      </c>
      <c r="R417" s="11">
        <v>1</v>
      </c>
      <c r="S417" s="11">
        <v>1</v>
      </c>
      <c r="T417" s="11">
        <v>0</v>
      </c>
      <c r="U417" s="11">
        <v>1</v>
      </c>
      <c r="V417" s="11">
        <v>1</v>
      </c>
      <c r="W417" s="11">
        <v>1</v>
      </c>
      <c r="X417" s="11">
        <v>0</v>
      </c>
      <c r="Y417" s="11">
        <v>1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1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5">
        <f t="shared" si="64"/>
        <v>42.70218775906163</v>
      </c>
      <c r="BH417" s="3">
        <f t="shared" si="65"/>
        <v>10.905221632324544</v>
      </c>
      <c r="BI417" s="3">
        <f t="shared" si="66"/>
        <v>44.09477836767546</v>
      </c>
      <c r="BJ417" s="3">
        <f t="shared" si="58"/>
        <v>-1.3970996477163997</v>
      </c>
      <c r="BK417" s="3">
        <f t="shared" si="59"/>
        <v>-0.45609683602320777</v>
      </c>
      <c r="BL417" s="3">
        <f t="shared" si="60"/>
        <v>0.94333424358242735</v>
      </c>
      <c r="BM417" s="3">
        <f t="shared" si="61"/>
        <v>-0.9975285198167072</v>
      </c>
      <c r="BN417" s="3">
        <f t="shared" si="62"/>
        <v>40.024714801832928</v>
      </c>
      <c r="BO417" s="2" t="str">
        <f t="shared" si="63"/>
        <v>NC</v>
      </c>
    </row>
    <row r="418" spans="1:67" x14ac:dyDescent="0.35">
      <c r="A418" s="15">
        <v>417</v>
      </c>
      <c r="B418" s="10" t="s">
        <v>386</v>
      </c>
      <c r="C418" s="14">
        <v>15</v>
      </c>
      <c r="D418" s="11">
        <v>0</v>
      </c>
      <c r="E418" s="11">
        <v>0</v>
      </c>
      <c r="F418" s="11">
        <v>1</v>
      </c>
      <c r="G418" s="11">
        <v>1</v>
      </c>
      <c r="H418" s="11">
        <v>1</v>
      </c>
      <c r="I418" s="11">
        <v>0</v>
      </c>
      <c r="J418" s="11">
        <v>1</v>
      </c>
      <c r="K418" s="11">
        <v>0</v>
      </c>
      <c r="L418" s="11">
        <v>1</v>
      </c>
      <c r="M418" s="11">
        <v>1</v>
      </c>
      <c r="N418" s="11">
        <v>1</v>
      </c>
      <c r="O418" s="11">
        <v>0</v>
      </c>
      <c r="P418" s="11">
        <v>0</v>
      </c>
      <c r="Q418" s="11">
        <v>1</v>
      </c>
      <c r="R418" s="11">
        <v>0</v>
      </c>
      <c r="S418" s="11">
        <v>0</v>
      </c>
      <c r="T418" s="11">
        <v>1</v>
      </c>
      <c r="U418" s="11">
        <v>1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1</v>
      </c>
      <c r="AE418" s="11">
        <v>1</v>
      </c>
      <c r="AF418" s="11">
        <v>0</v>
      </c>
      <c r="AG418" s="11">
        <v>1</v>
      </c>
      <c r="AH418" s="11">
        <v>0</v>
      </c>
      <c r="AI418" s="11">
        <v>1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1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5">
        <f t="shared" si="64"/>
        <v>42.526390888146835</v>
      </c>
      <c r="BH418" s="3">
        <f t="shared" si="65"/>
        <v>10.860326887108869</v>
      </c>
      <c r="BI418" s="3">
        <f t="shared" si="66"/>
        <v>44.139673112891131</v>
      </c>
      <c r="BJ418" s="3">
        <f t="shared" si="58"/>
        <v>-1.4022425809573533</v>
      </c>
      <c r="BK418" s="3">
        <f t="shared" si="59"/>
        <v>-0.45609683602320777</v>
      </c>
      <c r="BL418" s="3">
        <f t="shared" si="60"/>
        <v>0.94333424358242735</v>
      </c>
      <c r="BM418" s="3">
        <f t="shared" si="61"/>
        <v>-1.0029803872496361</v>
      </c>
      <c r="BN418" s="3">
        <f t="shared" si="62"/>
        <v>39.970196127503641</v>
      </c>
      <c r="BO418" s="2" t="str">
        <f t="shared" si="63"/>
        <v>NC</v>
      </c>
    </row>
    <row r="419" spans="1:67" x14ac:dyDescent="0.35">
      <c r="A419" s="1">
        <v>418</v>
      </c>
      <c r="B419" s="10" t="s">
        <v>387</v>
      </c>
      <c r="C419" s="14">
        <v>14</v>
      </c>
      <c r="D419" s="11">
        <v>1</v>
      </c>
      <c r="E419" s="11">
        <v>1</v>
      </c>
      <c r="F419" s="11">
        <v>1</v>
      </c>
      <c r="G419" s="11">
        <v>0</v>
      </c>
      <c r="H419" s="11">
        <v>0</v>
      </c>
      <c r="I419" s="11">
        <v>1</v>
      </c>
      <c r="J419" s="11">
        <v>0</v>
      </c>
      <c r="K419" s="11">
        <v>0</v>
      </c>
      <c r="L419" s="11">
        <v>0</v>
      </c>
      <c r="M419" s="11">
        <v>1</v>
      </c>
      <c r="N419" s="11">
        <v>0</v>
      </c>
      <c r="O419" s="11">
        <v>0</v>
      </c>
      <c r="P419" s="11">
        <v>0</v>
      </c>
      <c r="Q419" s="11">
        <v>1</v>
      </c>
      <c r="R419" s="11">
        <v>0</v>
      </c>
      <c r="S419" s="11">
        <v>0</v>
      </c>
      <c r="T419" s="11">
        <v>0</v>
      </c>
      <c r="U419" s="11">
        <v>1</v>
      </c>
      <c r="V419" s="11">
        <v>1</v>
      </c>
      <c r="W419" s="11">
        <v>0</v>
      </c>
      <c r="X419" s="11">
        <v>0</v>
      </c>
      <c r="Y419" s="11">
        <v>0</v>
      </c>
      <c r="Z419" s="11">
        <v>1</v>
      </c>
      <c r="AA419" s="11">
        <v>0</v>
      </c>
      <c r="AB419" s="11">
        <v>0</v>
      </c>
      <c r="AC419" s="11">
        <v>0</v>
      </c>
      <c r="AD419" s="11">
        <v>0</v>
      </c>
      <c r="AE419" s="11">
        <v>1</v>
      </c>
      <c r="AF419" s="11">
        <v>0</v>
      </c>
      <c r="AG419" s="11">
        <v>1</v>
      </c>
      <c r="AH419" s="11">
        <v>1</v>
      </c>
      <c r="AI419" s="11">
        <v>0</v>
      </c>
      <c r="AJ419" s="11">
        <v>0</v>
      </c>
      <c r="AK419" s="11">
        <v>1</v>
      </c>
      <c r="AL419" s="11">
        <v>0</v>
      </c>
      <c r="AM419" s="11">
        <v>1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5">
        <f t="shared" si="64"/>
        <v>42.142483069574382</v>
      </c>
      <c r="BH419" s="3">
        <f t="shared" si="65"/>
        <v>10.762285075491702</v>
      </c>
      <c r="BI419" s="3">
        <f t="shared" si="66"/>
        <v>44.237714924508296</v>
      </c>
      <c r="BJ419" s="3">
        <f t="shared" si="58"/>
        <v>-1.4135298042856681</v>
      </c>
      <c r="BK419" s="3">
        <f t="shared" si="59"/>
        <v>-0.45609683602320777</v>
      </c>
      <c r="BL419" s="3">
        <f t="shared" si="60"/>
        <v>0.94333424358242735</v>
      </c>
      <c r="BM419" s="3">
        <f t="shared" si="61"/>
        <v>-1.014945630115675</v>
      </c>
      <c r="BN419" s="3">
        <f t="shared" si="62"/>
        <v>39.850543698843254</v>
      </c>
      <c r="BO419" s="2" t="str">
        <f t="shared" si="63"/>
        <v>NC</v>
      </c>
    </row>
    <row r="420" spans="1:67" x14ac:dyDescent="0.35">
      <c r="A420" s="15">
        <v>419</v>
      </c>
      <c r="B420" s="10" t="s">
        <v>388</v>
      </c>
      <c r="C420" s="14">
        <v>13</v>
      </c>
      <c r="D420" s="11">
        <v>0</v>
      </c>
      <c r="E420" s="11">
        <v>0</v>
      </c>
      <c r="F420" s="11">
        <v>0</v>
      </c>
      <c r="G420" s="11">
        <v>1</v>
      </c>
      <c r="H420" s="11">
        <v>0</v>
      </c>
      <c r="I420" s="11">
        <v>1</v>
      </c>
      <c r="J420" s="11">
        <v>0</v>
      </c>
      <c r="K420" s="11">
        <v>0</v>
      </c>
      <c r="L420" s="11">
        <v>0</v>
      </c>
      <c r="M420" s="11">
        <v>1</v>
      </c>
      <c r="N420" s="11">
        <v>0</v>
      </c>
      <c r="O420" s="11">
        <v>0</v>
      </c>
      <c r="P420" s="11">
        <v>1</v>
      </c>
      <c r="Q420" s="11">
        <v>1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1</v>
      </c>
      <c r="X420" s="11">
        <v>0</v>
      </c>
      <c r="Y420" s="11">
        <v>1</v>
      </c>
      <c r="Z420" s="11">
        <v>1</v>
      </c>
      <c r="AA420" s="11">
        <v>1</v>
      </c>
      <c r="AB420" s="11">
        <v>0</v>
      </c>
      <c r="AC420" s="11">
        <v>1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1</v>
      </c>
      <c r="AJ420" s="11">
        <v>0</v>
      </c>
      <c r="AK420" s="11">
        <v>1</v>
      </c>
      <c r="AL420" s="11">
        <v>0</v>
      </c>
      <c r="AM420" s="11">
        <v>1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5">
        <f t="shared" si="64"/>
        <v>42.056554284174311</v>
      </c>
      <c r="BH420" s="3">
        <f t="shared" si="65"/>
        <v>10.740340709206032</v>
      </c>
      <c r="BI420" s="3">
        <f t="shared" si="66"/>
        <v>44.259659290793969</v>
      </c>
      <c r="BJ420" s="3">
        <f t="shared" si="58"/>
        <v>-1.4160668247225361</v>
      </c>
      <c r="BK420" s="3">
        <f t="shared" si="59"/>
        <v>-0.45609683602320777</v>
      </c>
      <c r="BL420" s="3">
        <f t="shared" si="60"/>
        <v>0.94333424358242735</v>
      </c>
      <c r="BM420" s="3">
        <f t="shared" si="61"/>
        <v>-1.0176350484783894</v>
      </c>
      <c r="BN420" s="3">
        <f t="shared" si="62"/>
        <v>39.823649515216104</v>
      </c>
      <c r="BO420" s="2" t="str">
        <f t="shared" si="63"/>
        <v>NC</v>
      </c>
    </row>
    <row r="421" spans="1:67" x14ac:dyDescent="0.35">
      <c r="A421" s="15">
        <v>420</v>
      </c>
      <c r="B421" s="12">
        <v>7040080</v>
      </c>
      <c r="C421" s="14">
        <v>16</v>
      </c>
      <c r="D421" s="11">
        <v>1</v>
      </c>
      <c r="E421" s="11">
        <v>1</v>
      </c>
      <c r="F421" s="11">
        <v>1</v>
      </c>
      <c r="G421" s="11">
        <v>1</v>
      </c>
      <c r="H421" s="11">
        <v>1</v>
      </c>
      <c r="I421" s="11">
        <v>0</v>
      </c>
      <c r="J421" s="11">
        <v>1</v>
      </c>
      <c r="K421" s="11">
        <v>1</v>
      </c>
      <c r="L421" s="11">
        <v>1</v>
      </c>
      <c r="M421" s="11">
        <v>0</v>
      </c>
      <c r="N421" s="11">
        <v>0</v>
      </c>
      <c r="O421" s="11">
        <v>1</v>
      </c>
      <c r="P421" s="11">
        <v>0</v>
      </c>
      <c r="Q421" s="11">
        <v>1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1</v>
      </c>
      <c r="AA421" s="11">
        <v>0</v>
      </c>
      <c r="AB421" s="11">
        <v>0</v>
      </c>
      <c r="AC421" s="11">
        <v>1</v>
      </c>
      <c r="AD421" s="11">
        <v>0</v>
      </c>
      <c r="AE421" s="11">
        <v>1</v>
      </c>
      <c r="AF421" s="11">
        <v>1</v>
      </c>
      <c r="AG421" s="11">
        <v>1</v>
      </c>
      <c r="AH421" s="11">
        <v>1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5">
        <f t="shared" si="64"/>
        <v>41.748028774628764</v>
      </c>
      <c r="BH421" s="3">
        <f t="shared" si="65"/>
        <v>10.661549920317094</v>
      </c>
      <c r="BI421" s="3">
        <f t="shared" si="66"/>
        <v>44.338450079682907</v>
      </c>
      <c r="BJ421" s="3">
        <f t="shared" si="58"/>
        <v>-1.4252084441540953</v>
      </c>
      <c r="BK421" s="3">
        <f t="shared" si="59"/>
        <v>-0.45609683602320777</v>
      </c>
      <c r="BL421" s="3">
        <f t="shared" si="60"/>
        <v>0.94333424358242735</v>
      </c>
      <c r="BM421" s="3">
        <f t="shared" si="61"/>
        <v>-1.0273258017758027</v>
      </c>
      <c r="BN421" s="3">
        <f t="shared" si="62"/>
        <v>39.726741982241975</v>
      </c>
      <c r="BO421" s="2" t="str">
        <f t="shared" si="63"/>
        <v>NC</v>
      </c>
    </row>
    <row r="422" spans="1:67" x14ac:dyDescent="0.35">
      <c r="A422" s="1">
        <v>421</v>
      </c>
      <c r="B422" s="10" t="s">
        <v>389</v>
      </c>
      <c r="C422" s="14">
        <v>15</v>
      </c>
      <c r="D422" s="11">
        <v>1</v>
      </c>
      <c r="E422" s="11">
        <v>0</v>
      </c>
      <c r="F422" s="11">
        <v>1</v>
      </c>
      <c r="G422" s="11">
        <v>1</v>
      </c>
      <c r="H422" s="11">
        <v>1</v>
      </c>
      <c r="I422" s="11">
        <v>0</v>
      </c>
      <c r="J422" s="11">
        <v>1</v>
      </c>
      <c r="K422" s="11">
        <v>1</v>
      </c>
      <c r="L422" s="11">
        <v>0</v>
      </c>
      <c r="M422" s="11">
        <v>1</v>
      </c>
      <c r="N422" s="11">
        <v>0</v>
      </c>
      <c r="O422" s="11">
        <v>0</v>
      </c>
      <c r="P422" s="11">
        <v>1</v>
      </c>
      <c r="Q422" s="11">
        <v>1</v>
      </c>
      <c r="R422" s="11">
        <v>0</v>
      </c>
      <c r="S422" s="11">
        <v>0</v>
      </c>
      <c r="T422" s="11">
        <v>0</v>
      </c>
      <c r="U422" s="11">
        <v>0</v>
      </c>
      <c r="V422" s="11">
        <v>1</v>
      </c>
      <c r="W422" s="11">
        <v>0</v>
      </c>
      <c r="X422" s="11">
        <v>0</v>
      </c>
      <c r="Y422" s="11">
        <v>1</v>
      </c>
      <c r="Z422" s="11">
        <v>0</v>
      </c>
      <c r="AA422" s="11">
        <v>1</v>
      </c>
      <c r="AB422" s="11">
        <v>0</v>
      </c>
      <c r="AC422" s="11">
        <v>0</v>
      </c>
      <c r="AD422" s="11">
        <v>1</v>
      </c>
      <c r="AE422" s="11">
        <v>0</v>
      </c>
      <c r="AF422" s="11">
        <v>1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1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5">
        <f t="shared" si="64"/>
        <v>41.5081085466066</v>
      </c>
      <c r="BH422" s="3">
        <f t="shared" si="65"/>
        <v>10.600279446883228</v>
      </c>
      <c r="BI422" s="3">
        <f t="shared" si="66"/>
        <v>44.399720553116772</v>
      </c>
      <c r="BJ422" s="3">
        <f t="shared" si="58"/>
        <v>-1.4323528118856135</v>
      </c>
      <c r="BK422" s="3">
        <f t="shared" si="59"/>
        <v>-0.45609683602320777</v>
      </c>
      <c r="BL422" s="3">
        <f t="shared" si="60"/>
        <v>0.94333424358242735</v>
      </c>
      <c r="BM422" s="3">
        <f t="shared" si="61"/>
        <v>-1.0348993291656137</v>
      </c>
      <c r="BN422" s="3">
        <f t="shared" si="62"/>
        <v>39.651006708343864</v>
      </c>
      <c r="BO422" s="2" t="str">
        <f t="shared" si="63"/>
        <v>NC</v>
      </c>
    </row>
    <row r="423" spans="1:67" x14ac:dyDescent="0.35">
      <c r="A423" s="15">
        <v>422</v>
      </c>
      <c r="B423" s="10" t="s">
        <v>390</v>
      </c>
      <c r="C423" s="14">
        <v>16</v>
      </c>
      <c r="D423" s="11">
        <v>1</v>
      </c>
      <c r="E423" s="11">
        <v>1</v>
      </c>
      <c r="F423" s="11">
        <v>1</v>
      </c>
      <c r="G423" s="11">
        <v>1</v>
      </c>
      <c r="H423" s="11">
        <v>1</v>
      </c>
      <c r="I423" s="11">
        <v>1</v>
      </c>
      <c r="J423" s="11">
        <v>1</v>
      </c>
      <c r="K423" s="11">
        <v>1</v>
      </c>
      <c r="L423" s="11">
        <v>0</v>
      </c>
      <c r="M423" s="11">
        <v>1</v>
      </c>
      <c r="N423" s="11">
        <v>0</v>
      </c>
      <c r="O423" s="11">
        <v>1</v>
      </c>
      <c r="P423" s="11">
        <v>0</v>
      </c>
      <c r="Q423" s="11">
        <v>1</v>
      </c>
      <c r="R423" s="11">
        <v>0</v>
      </c>
      <c r="S423" s="11">
        <v>1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1</v>
      </c>
      <c r="AE423" s="11">
        <v>0</v>
      </c>
      <c r="AF423" s="11">
        <v>1</v>
      </c>
      <c r="AG423" s="11">
        <v>0</v>
      </c>
      <c r="AH423" s="11">
        <v>1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1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5">
        <f t="shared" si="64"/>
        <v>41.441431327101206</v>
      </c>
      <c r="BH423" s="3">
        <f t="shared" si="65"/>
        <v>10.583251517058269</v>
      </c>
      <c r="BI423" s="3">
        <f t="shared" si="66"/>
        <v>44.416748482941728</v>
      </c>
      <c r="BJ423" s="3">
        <f t="shared" si="58"/>
        <v>-1.4343439104245479</v>
      </c>
      <c r="BK423" s="3">
        <f t="shared" si="59"/>
        <v>-0.45609683602320777</v>
      </c>
      <c r="BL423" s="3">
        <f t="shared" si="60"/>
        <v>0.94333424358242735</v>
      </c>
      <c r="BM423" s="3">
        <f t="shared" si="61"/>
        <v>-1.0370100322938844</v>
      </c>
      <c r="BN423" s="3">
        <f t="shared" si="62"/>
        <v>39.629899677061154</v>
      </c>
      <c r="BO423" s="2" t="str">
        <f t="shared" si="63"/>
        <v>NC</v>
      </c>
    </row>
    <row r="424" spans="1:67" x14ac:dyDescent="0.35">
      <c r="A424" s="15">
        <v>423</v>
      </c>
      <c r="B424" s="10" t="s">
        <v>391</v>
      </c>
      <c r="C424" s="14">
        <v>13</v>
      </c>
      <c r="D424" s="11">
        <v>1</v>
      </c>
      <c r="E424" s="11">
        <v>0</v>
      </c>
      <c r="F424" s="11">
        <v>1</v>
      </c>
      <c r="G424" s="11">
        <v>1</v>
      </c>
      <c r="H424" s="11">
        <v>0</v>
      </c>
      <c r="I424" s="11">
        <v>0</v>
      </c>
      <c r="J424" s="11">
        <v>0</v>
      </c>
      <c r="K424" s="11">
        <v>1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1</v>
      </c>
      <c r="R424" s="11">
        <v>1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</v>
      </c>
      <c r="Y424" s="11">
        <v>1</v>
      </c>
      <c r="Z424" s="11">
        <v>0</v>
      </c>
      <c r="AA424" s="11">
        <v>1</v>
      </c>
      <c r="AB424" s="11">
        <v>1</v>
      </c>
      <c r="AC424" s="11">
        <v>0</v>
      </c>
      <c r="AD424" s="11">
        <v>0</v>
      </c>
      <c r="AE424" s="11">
        <v>0</v>
      </c>
      <c r="AF424" s="11">
        <v>1</v>
      </c>
      <c r="AG424" s="11">
        <v>1</v>
      </c>
      <c r="AH424" s="11">
        <v>0</v>
      </c>
      <c r="AI424" s="11">
        <v>0</v>
      </c>
      <c r="AJ424" s="11">
        <v>0</v>
      </c>
      <c r="AK424" s="11">
        <v>0</v>
      </c>
      <c r="AL424" s="11">
        <v>1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5">
        <f t="shared" si="64"/>
        <v>41.212882559137284</v>
      </c>
      <c r="BH424" s="3">
        <f t="shared" si="65"/>
        <v>10.524885070296714</v>
      </c>
      <c r="BI424" s="3">
        <f t="shared" si="66"/>
        <v>44.475114929703288</v>
      </c>
      <c r="BJ424" s="3">
        <f t="shared" si="58"/>
        <v>-1.4411873578682346</v>
      </c>
      <c r="BK424" s="3">
        <f t="shared" si="59"/>
        <v>-0.45609683602320777</v>
      </c>
      <c r="BL424" s="3">
        <f t="shared" si="60"/>
        <v>0.94333424358242735</v>
      </c>
      <c r="BM424" s="3">
        <f t="shared" si="61"/>
        <v>-1.0442645632199514</v>
      </c>
      <c r="BN424" s="3">
        <f t="shared" si="62"/>
        <v>39.557354367800485</v>
      </c>
      <c r="BO424" s="2" t="str">
        <f t="shared" si="63"/>
        <v>NC</v>
      </c>
    </row>
    <row r="425" spans="1:67" x14ac:dyDescent="0.35">
      <c r="A425" s="1">
        <v>424</v>
      </c>
      <c r="B425" s="10" t="s">
        <v>392</v>
      </c>
      <c r="C425" s="14">
        <v>13</v>
      </c>
      <c r="D425" s="11">
        <v>1</v>
      </c>
      <c r="E425" s="11">
        <v>0</v>
      </c>
      <c r="F425" s="11">
        <v>1</v>
      </c>
      <c r="G425" s="11">
        <v>1</v>
      </c>
      <c r="H425" s="11">
        <v>0</v>
      </c>
      <c r="I425" s="11">
        <v>1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1</v>
      </c>
      <c r="R425" s="11">
        <v>0</v>
      </c>
      <c r="S425" s="11">
        <v>0</v>
      </c>
      <c r="T425" s="11">
        <v>0</v>
      </c>
      <c r="U425" s="11">
        <v>0</v>
      </c>
      <c r="V425" s="11">
        <v>1</v>
      </c>
      <c r="W425" s="11">
        <v>1</v>
      </c>
      <c r="X425" s="11">
        <v>0</v>
      </c>
      <c r="Y425" s="11">
        <v>0</v>
      </c>
      <c r="Z425" s="11">
        <v>0</v>
      </c>
      <c r="AA425" s="11">
        <v>1</v>
      </c>
      <c r="AB425" s="11">
        <v>0</v>
      </c>
      <c r="AC425" s="11">
        <v>0</v>
      </c>
      <c r="AD425" s="11">
        <v>0</v>
      </c>
      <c r="AE425" s="11">
        <v>0</v>
      </c>
      <c r="AF425" s="11">
        <v>1</v>
      </c>
      <c r="AG425" s="11">
        <v>0</v>
      </c>
      <c r="AH425" s="11">
        <v>0</v>
      </c>
      <c r="AI425" s="11">
        <v>0</v>
      </c>
      <c r="AJ425" s="11">
        <v>1</v>
      </c>
      <c r="AK425" s="11">
        <v>1</v>
      </c>
      <c r="AL425" s="11">
        <v>1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1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5">
        <f t="shared" si="64"/>
        <v>41.201950357846151</v>
      </c>
      <c r="BH425" s="3">
        <f t="shared" si="65"/>
        <v>10.522093220879496</v>
      </c>
      <c r="BI425" s="3">
        <f t="shared" si="66"/>
        <v>44.477906779120502</v>
      </c>
      <c r="BJ425" s="3">
        <f t="shared" si="58"/>
        <v>-1.4415154261276837</v>
      </c>
      <c r="BK425" s="3">
        <f t="shared" si="59"/>
        <v>-0.45609683602320777</v>
      </c>
      <c r="BL425" s="3">
        <f t="shared" si="60"/>
        <v>0.94333424358242735</v>
      </c>
      <c r="BM425" s="3">
        <f t="shared" si="61"/>
        <v>-1.0446123384244252</v>
      </c>
      <c r="BN425" s="3">
        <f t="shared" si="62"/>
        <v>39.553876615755748</v>
      </c>
      <c r="BO425" s="2" t="str">
        <f t="shared" si="63"/>
        <v>NC</v>
      </c>
    </row>
    <row r="426" spans="1:67" x14ac:dyDescent="0.35">
      <c r="A426" s="15">
        <v>425</v>
      </c>
      <c r="B426" s="10" t="s">
        <v>393</v>
      </c>
      <c r="C426" s="14">
        <v>15</v>
      </c>
      <c r="D426" s="11">
        <v>1</v>
      </c>
      <c r="E426" s="11">
        <v>1</v>
      </c>
      <c r="F426" s="11">
        <v>0</v>
      </c>
      <c r="G426" s="11">
        <v>1</v>
      </c>
      <c r="H426" s="11">
        <v>1</v>
      </c>
      <c r="I426" s="11">
        <v>0</v>
      </c>
      <c r="J426" s="11">
        <v>1</v>
      </c>
      <c r="K426" s="11">
        <v>0</v>
      </c>
      <c r="L426" s="11">
        <v>1</v>
      </c>
      <c r="M426" s="11">
        <v>1</v>
      </c>
      <c r="N426" s="11">
        <v>0</v>
      </c>
      <c r="O426" s="11">
        <v>1</v>
      </c>
      <c r="P426" s="11">
        <v>0</v>
      </c>
      <c r="Q426" s="11">
        <v>1</v>
      </c>
      <c r="R426" s="11">
        <v>0</v>
      </c>
      <c r="S426" s="11">
        <v>1</v>
      </c>
      <c r="T426" s="11">
        <v>0</v>
      </c>
      <c r="U426" s="11">
        <v>0</v>
      </c>
      <c r="V426" s="11">
        <v>0</v>
      </c>
      <c r="W426" s="11">
        <v>1</v>
      </c>
      <c r="X426" s="11">
        <v>0</v>
      </c>
      <c r="Y426" s="11">
        <v>0</v>
      </c>
      <c r="Z426" s="11">
        <v>0</v>
      </c>
      <c r="AA426" s="11">
        <v>1</v>
      </c>
      <c r="AB426" s="11">
        <v>0</v>
      </c>
      <c r="AC426" s="11">
        <v>0</v>
      </c>
      <c r="AD426" s="11">
        <v>0</v>
      </c>
      <c r="AE426" s="11">
        <v>1</v>
      </c>
      <c r="AF426" s="11">
        <v>0</v>
      </c>
      <c r="AG426" s="11">
        <v>1</v>
      </c>
      <c r="AH426" s="11">
        <v>0</v>
      </c>
      <c r="AI426" s="11">
        <v>1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5">
        <f t="shared" si="64"/>
        <v>40.594069930020439</v>
      </c>
      <c r="BH426" s="3">
        <f t="shared" si="65"/>
        <v>10.366853615152623</v>
      </c>
      <c r="BI426" s="3">
        <f t="shared" si="66"/>
        <v>44.633146384847379</v>
      </c>
      <c r="BJ426" s="3">
        <f t="shared" si="58"/>
        <v>-1.4598632115101211</v>
      </c>
      <c r="BK426" s="3">
        <f t="shared" si="59"/>
        <v>-0.45609683602320777</v>
      </c>
      <c r="BL426" s="3">
        <f t="shared" si="60"/>
        <v>0.94333424358242735</v>
      </c>
      <c r="BM426" s="3">
        <f t="shared" si="61"/>
        <v>-1.0640622688252972</v>
      </c>
      <c r="BN426" s="3">
        <f t="shared" si="62"/>
        <v>39.359377311747025</v>
      </c>
      <c r="BO426" s="2" t="str">
        <f t="shared" si="63"/>
        <v>NC</v>
      </c>
    </row>
    <row r="427" spans="1:67" x14ac:dyDescent="0.35">
      <c r="A427" s="15">
        <v>426</v>
      </c>
      <c r="B427" s="10" t="s">
        <v>394</v>
      </c>
      <c r="C427" s="14">
        <v>12</v>
      </c>
      <c r="D427" s="11">
        <v>1</v>
      </c>
      <c r="E427" s="11">
        <v>0</v>
      </c>
      <c r="F427" s="11">
        <v>1</v>
      </c>
      <c r="G427" s="11">
        <v>1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1</v>
      </c>
      <c r="S427" s="11">
        <v>1</v>
      </c>
      <c r="T427" s="11">
        <v>0</v>
      </c>
      <c r="U427" s="11">
        <v>1</v>
      </c>
      <c r="V427" s="11">
        <v>0</v>
      </c>
      <c r="W427" s="11">
        <v>0</v>
      </c>
      <c r="X427" s="11">
        <v>1</v>
      </c>
      <c r="Y427" s="11">
        <v>0</v>
      </c>
      <c r="Z427" s="11">
        <v>0</v>
      </c>
      <c r="AA427" s="11">
        <v>0</v>
      </c>
      <c r="AB427" s="11">
        <v>1</v>
      </c>
      <c r="AC427" s="11">
        <v>0</v>
      </c>
      <c r="AD427" s="11">
        <v>0</v>
      </c>
      <c r="AE427" s="11">
        <v>1</v>
      </c>
      <c r="AF427" s="11">
        <v>0</v>
      </c>
      <c r="AG427" s="11">
        <v>0</v>
      </c>
      <c r="AH427" s="11">
        <v>0</v>
      </c>
      <c r="AI427" s="11">
        <v>0</v>
      </c>
      <c r="AJ427" s="11">
        <v>1</v>
      </c>
      <c r="AK427" s="11">
        <v>0</v>
      </c>
      <c r="AL427" s="11">
        <v>0</v>
      </c>
      <c r="AM427" s="11">
        <v>1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1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5">
        <f t="shared" si="64"/>
        <v>40.574858863370672</v>
      </c>
      <c r="BH427" s="3">
        <f t="shared" si="65"/>
        <v>10.361947521329254</v>
      </c>
      <c r="BI427" s="3">
        <f t="shared" si="66"/>
        <v>44.638052478670744</v>
      </c>
      <c r="BJ427" s="3">
        <f t="shared" si="58"/>
        <v>-1.4604464860027166</v>
      </c>
      <c r="BK427" s="3">
        <f t="shared" si="59"/>
        <v>-0.45609683602320777</v>
      </c>
      <c r="BL427" s="3">
        <f t="shared" si="60"/>
        <v>0.94333424358242735</v>
      </c>
      <c r="BM427" s="3">
        <f t="shared" si="61"/>
        <v>-1.0646805804116344</v>
      </c>
      <c r="BN427" s="3">
        <f t="shared" si="62"/>
        <v>39.35319419588366</v>
      </c>
      <c r="BO427" s="2" t="str">
        <f t="shared" si="63"/>
        <v>NC</v>
      </c>
    </row>
    <row r="428" spans="1:67" x14ac:dyDescent="0.35">
      <c r="A428" s="1">
        <v>427</v>
      </c>
      <c r="B428" s="10" t="s">
        <v>395</v>
      </c>
      <c r="C428" s="14">
        <v>15</v>
      </c>
      <c r="D428" s="11">
        <v>1</v>
      </c>
      <c r="E428" s="11">
        <v>0</v>
      </c>
      <c r="F428" s="11">
        <v>1</v>
      </c>
      <c r="G428" s="11">
        <v>1</v>
      </c>
      <c r="H428" s="11">
        <v>1</v>
      </c>
      <c r="I428" s="11">
        <v>0</v>
      </c>
      <c r="J428" s="11">
        <v>1</v>
      </c>
      <c r="K428" s="11">
        <v>1</v>
      </c>
      <c r="L428" s="11">
        <v>1</v>
      </c>
      <c r="M428" s="11">
        <v>1</v>
      </c>
      <c r="N428" s="11">
        <v>0</v>
      </c>
      <c r="O428" s="11">
        <v>0</v>
      </c>
      <c r="P428" s="11">
        <v>0</v>
      </c>
      <c r="Q428" s="11">
        <v>1</v>
      </c>
      <c r="R428" s="11">
        <v>1</v>
      </c>
      <c r="S428" s="11">
        <v>0</v>
      </c>
      <c r="T428" s="11">
        <v>0</v>
      </c>
      <c r="U428" s="11">
        <v>1</v>
      </c>
      <c r="V428" s="11">
        <v>0</v>
      </c>
      <c r="W428" s="11">
        <v>0</v>
      </c>
      <c r="X428" s="11">
        <v>0</v>
      </c>
      <c r="Y428" s="11">
        <v>0</v>
      </c>
      <c r="Z428" s="11">
        <v>1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1</v>
      </c>
      <c r="AI428" s="11">
        <v>0</v>
      </c>
      <c r="AJ428" s="11">
        <v>0</v>
      </c>
      <c r="AK428" s="11">
        <v>0</v>
      </c>
      <c r="AL428" s="11">
        <v>0</v>
      </c>
      <c r="AM428" s="11">
        <v>1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1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5">
        <f t="shared" si="64"/>
        <v>40.122184446429571</v>
      </c>
      <c r="BH428" s="3">
        <f t="shared" si="65"/>
        <v>10.246344197399361</v>
      </c>
      <c r="BI428" s="3">
        <f t="shared" si="66"/>
        <v>44.75365580260064</v>
      </c>
      <c r="BJ428" s="3">
        <f t="shared" si="58"/>
        <v>-1.4742521570005134</v>
      </c>
      <c r="BK428" s="3">
        <f t="shared" si="59"/>
        <v>-0.45609683602320777</v>
      </c>
      <c r="BL428" s="3">
        <f t="shared" si="60"/>
        <v>0.94333424358242735</v>
      </c>
      <c r="BM428" s="3">
        <f t="shared" si="61"/>
        <v>-1.0793155532133933</v>
      </c>
      <c r="BN428" s="3">
        <f t="shared" si="62"/>
        <v>39.206844467866063</v>
      </c>
      <c r="BO428" s="2" t="str">
        <f t="shared" si="63"/>
        <v>NC</v>
      </c>
    </row>
    <row r="429" spans="1:67" x14ac:dyDescent="0.35">
      <c r="A429" s="15">
        <v>428</v>
      </c>
      <c r="B429" s="10" t="s">
        <v>396</v>
      </c>
      <c r="C429" s="14">
        <v>13</v>
      </c>
      <c r="D429" s="11">
        <v>1</v>
      </c>
      <c r="E429" s="11">
        <v>1</v>
      </c>
      <c r="F429" s="11">
        <v>0</v>
      </c>
      <c r="G429" s="11">
        <v>1</v>
      </c>
      <c r="H429" s="11">
        <v>1</v>
      </c>
      <c r="I429" s="11">
        <v>0</v>
      </c>
      <c r="J429" s="11">
        <v>0</v>
      </c>
      <c r="K429" s="11">
        <v>0</v>
      </c>
      <c r="L429" s="11">
        <v>0</v>
      </c>
      <c r="M429" s="11">
        <v>1</v>
      </c>
      <c r="N429" s="11">
        <v>0</v>
      </c>
      <c r="O429" s="11">
        <v>1</v>
      </c>
      <c r="P429" s="11">
        <v>0</v>
      </c>
      <c r="Q429" s="11">
        <v>1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1</v>
      </c>
      <c r="X429" s="11">
        <v>0</v>
      </c>
      <c r="Y429" s="11">
        <v>0</v>
      </c>
      <c r="Z429" s="11">
        <v>0</v>
      </c>
      <c r="AA429" s="11">
        <v>0</v>
      </c>
      <c r="AB429" s="11">
        <v>1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1</v>
      </c>
      <c r="AJ429" s="11">
        <v>0</v>
      </c>
      <c r="AK429" s="11">
        <v>0</v>
      </c>
      <c r="AL429" s="11">
        <v>0</v>
      </c>
      <c r="AM429" s="11">
        <v>1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1</v>
      </c>
      <c r="AT429" s="11">
        <v>1</v>
      </c>
      <c r="AU429" s="11">
        <v>0</v>
      </c>
      <c r="AV429" s="11">
        <v>0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5">
        <f t="shared" si="64"/>
        <v>39.902661886070305</v>
      </c>
      <c r="BH429" s="3">
        <f t="shared" si="65"/>
        <v>10.190282850202808</v>
      </c>
      <c r="BI429" s="3">
        <f t="shared" si="66"/>
        <v>44.809717149797194</v>
      </c>
      <c r="BJ429" s="3">
        <f t="shared" si="58"/>
        <v>-1.480990412091711</v>
      </c>
      <c r="BK429" s="3">
        <f t="shared" si="59"/>
        <v>-0.45609683602320777</v>
      </c>
      <c r="BL429" s="3">
        <f t="shared" si="60"/>
        <v>0.94333424358242735</v>
      </c>
      <c r="BM429" s="3">
        <f t="shared" si="61"/>
        <v>-1.0864585729193337</v>
      </c>
      <c r="BN429" s="3">
        <f t="shared" si="62"/>
        <v>39.135414270806663</v>
      </c>
      <c r="BO429" s="2" t="str">
        <f t="shared" si="63"/>
        <v>NC</v>
      </c>
    </row>
    <row r="430" spans="1:67" x14ac:dyDescent="0.35">
      <c r="A430" s="15">
        <v>429</v>
      </c>
      <c r="B430" s="10" t="s">
        <v>397</v>
      </c>
      <c r="C430" s="14">
        <v>15</v>
      </c>
      <c r="D430" s="11">
        <v>1</v>
      </c>
      <c r="E430" s="11">
        <v>0</v>
      </c>
      <c r="F430" s="11">
        <v>1</v>
      </c>
      <c r="G430" s="11">
        <v>1</v>
      </c>
      <c r="H430" s="11">
        <v>1</v>
      </c>
      <c r="I430" s="11">
        <v>0</v>
      </c>
      <c r="J430" s="11">
        <v>1</v>
      </c>
      <c r="K430" s="11">
        <v>1</v>
      </c>
      <c r="L430" s="11">
        <v>1</v>
      </c>
      <c r="M430" s="11">
        <v>1</v>
      </c>
      <c r="N430" s="11">
        <v>0</v>
      </c>
      <c r="O430" s="11">
        <v>0</v>
      </c>
      <c r="P430" s="11">
        <v>1</v>
      </c>
      <c r="Q430" s="11">
        <v>1</v>
      </c>
      <c r="R430" s="11">
        <v>1</v>
      </c>
      <c r="S430" s="11">
        <v>0</v>
      </c>
      <c r="T430" s="11">
        <v>1</v>
      </c>
      <c r="U430" s="11">
        <v>0</v>
      </c>
      <c r="V430" s="11">
        <v>0</v>
      </c>
      <c r="W430" s="11">
        <v>1</v>
      </c>
      <c r="X430" s="11">
        <v>0</v>
      </c>
      <c r="Y430" s="11">
        <v>0</v>
      </c>
      <c r="Z430" s="11">
        <v>1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1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5">
        <f t="shared" si="64"/>
        <v>39.210911157771868</v>
      </c>
      <c r="BH430" s="3">
        <f t="shared" si="65"/>
        <v>10.013624571030316</v>
      </c>
      <c r="BI430" s="3">
        <f t="shared" si="66"/>
        <v>44.98637542896968</v>
      </c>
      <c r="BJ430" s="3">
        <f t="shared" si="58"/>
        <v>-1.5024130528870667</v>
      </c>
      <c r="BK430" s="3">
        <f t="shared" si="59"/>
        <v>-0.45609683602320777</v>
      </c>
      <c r="BL430" s="3">
        <f t="shared" si="60"/>
        <v>0.94333424358242735</v>
      </c>
      <c r="BM430" s="3">
        <f t="shared" si="61"/>
        <v>-1.1091680642169257</v>
      </c>
      <c r="BN430" s="3">
        <f t="shared" si="62"/>
        <v>38.908319357830742</v>
      </c>
      <c r="BO430" s="2" t="str">
        <f t="shared" si="63"/>
        <v>NC</v>
      </c>
    </row>
    <row r="431" spans="1:67" x14ac:dyDescent="0.35">
      <c r="A431" s="1">
        <v>430</v>
      </c>
      <c r="B431" s="10" t="s">
        <v>398</v>
      </c>
      <c r="C431" s="14">
        <v>14</v>
      </c>
      <c r="D431" s="11">
        <v>1</v>
      </c>
      <c r="E431" s="11">
        <v>1</v>
      </c>
      <c r="F431" s="11">
        <v>0</v>
      </c>
      <c r="G431" s="11">
        <v>1</v>
      </c>
      <c r="H431" s="11">
        <v>1</v>
      </c>
      <c r="I431" s="11">
        <v>0</v>
      </c>
      <c r="J431" s="11">
        <v>0</v>
      </c>
      <c r="K431" s="11">
        <v>1</v>
      </c>
      <c r="L431" s="11">
        <v>0</v>
      </c>
      <c r="M431" s="11">
        <v>1</v>
      </c>
      <c r="N431" s="11">
        <v>0</v>
      </c>
      <c r="O431" s="11">
        <v>1</v>
      </c>
      <c r="P431" s="11">
        <v>0</v>
      </c>
      <c r="Q431" s="11">
        <v>0</v>
      </c>
      <c r="R431" s="11">
        <v>1</v>
      </c>
      <c r="S431" s="11">
        <v>0</v>
      </c>
      <c r="T431" s="11">
        <v>1</v>
      </c>
      <c r="U431" s="11">
        <v>0</v>
      </c>
      <c r="V431" s="11">
        <v>1</v>
      </c>
      <c r="W431" s="11">
        <v>1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1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1</v>
      </c>
      <c r="AL431" s="11">
        <v>1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5">
        <f t="shared" si="64"/>
        <v>39.197886468856197</v>
      </c>
      <c r="BH431" s="3">
        <f t="shared" si="65"/>
        <v>10.010298345214466</v>
      </c>
      <c r="BI431" s="3">
        <f t="shared" si="66"/>
        <v>44.989701654785534</v>
      </c>
      <c r="BJ431" s="3">
        <f t="shared" si="58"/>
        <v>-1.5028192138640941</v>
      </c>
      <c r="BK431" s="3">
        <f t="shared" si="59"/>
        <v>-0.45609683602320777</v>
      </c>
      <c r="BL431" s="3">
        <f t="shared" si="60"/>
        <v>0.94333424358242735</v>
      </c>
      <c r="BM431" s="3">
        <f t="shared" si="61"/>
        <v>-1.1095986231410724</v>
      </c>
      <c r="BN431" s="3">
        <f t="shared" si="62"/>
        <v>38.90401376858928</v>
      </c>
      <c r="BO431" s="2" t="str">
        <f t="shared" si="63"/>
        <v>NC</v>
      </c>
    </row>
    <row r="432" spans="1:67" x14ac:dyDescent="0.35">
      <c r="A432" s="15">
        <v>431</v>
      </c>
      <c r="B432" s="10" t="s">
        <v>399</v>
      </c>
      <c r="C432" s="14">
        <v>14</v>
      </c>
      <c r="D432" s="11">
        <v>0</v>
      </c>
      <c r="E432" s="11">
        <v>1</v>
      </c>
      <c r="F432" s="11">
        <v>1</v>
      </c>
      <c r="G432" s="11">
        <v>1</v>
      </c>
      <c r="H432" s="11">
        <v>1</v>
      </c>
      <c r="I432" s="11">
        <v>1</v>
      </c>
      <c r="J432" s="11">
        <v>0</v>
      </c>
      <c r="K432" s="11">
        <v>0</v>
      </c>
      <c r="L432" s="11">
        <v>1</v>
      </c>
      <c r="M432" s="11">
        <v>1</v>
      </c>
      <c r="N432" s="11">
        <v>0</v>
      </c>
      <c r="O432" s="11">
        <v>0</v>
      </c>
      <c r="P432" s="11">
        <v>0</v>
      </c>
      <c r="Q432" s="11">
        <v>0</v>
      </c>
      <c r="R432" s="11">
        <v>1</v>
      </c>
      <c r="S432" s="11">
        <v>0</v>
      </c>
      <c r="T432" s="11">
        <v>1</v>
      </c>
      <c r="U432" s="11">
        <v>0</v>
      </c>
      <c r="V432" s="11">
        <v>1</v>
      </c>
      <c r="W432" s="11">
        <v>0</v>
      </c>
      <c r="X432" s="11">
        <v>0</v>
      </c>
      <c r="Y432" s="11">
        <v>0</v>
      </c>
      <c r="Z432" s="11">
        <v>1</v>
      </c>
      <c r="AA432" s="11">
        <v>0</v>
      </c>
      <c r="AB432" s="11">
        <v>0</v>
      </c>
      <c r="AC432" s="11">
        <v>1</v>
      </c>
      <c r="AD432" s="11">
        <v>0</v>
      </c>
      <c r="AE432" s="11">
        <v>0</v>
      </c>
      <c r="AF432" s="11">
        <v>0</v>
      </c>
      <c r="AG432" s="11">
        <v>1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0</v>
      </c>
      <c r="AU432" s="11">
        <v>0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1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5">
        <f t="shared" si="64"/>
        <v>39.174454764971237</v>
      </c>
      <c r="BH432" s="3">
        <f t="shared" si="65"/>
        <v>10.004314391288496</v>
      </c>
      <c r="BI432" s="3">
        <f t="shared" si="66"/>
        <v>44.995685608711504</v>
      </c>
      <c r="BJ432" s="3">
        <f t="shared" si="58"/>
        <v>-1.5035501707322219</v>
      </c>
      <c r="BK432" s="3">
        <f t="shared" si="59"/>
        <v>-0.45609683602320777</v>
      </c>
      <c r="BL432" s="3">
        <f t="shared" si="60"/>
        <v>0.94333424358242735</v>
      </c>
      <c r="BM432" s="3">
        <f t="shared" si="61"/>
        <v>-1.1103734883313274</v>
      </c>
      <c r="BN432" s="3">
        <f t="shared" si="62"/>
        <v>38.896265116686727</v>
      </c>
      <c r="BO432" s="2" t="str">
        <f t="shared" si="63"/>
        <v>NC</v>
      </c>
    </row>
    <row r="433" spans="1:67" x14ac:dyDescent="0.35">
      <c r="A433" s="15">
        <v>432</v>
      </c>
      <c r="B433" s="12">
        <v>808207</v>
      </c>
      <c r="C433" s="14">
        <v>14</v>
      </c>
      <c r="D433" s="11">
        <v>0</v>
      </c>
      <c r="E433" s="11">
        <v>1</v>
      </c>
      <c r="F433" s="11">
        <v>0</v>
      </c>
      <c r="G433" s="11">
        <v>1</v>
      </c>
      <c r="H433" s="11">
        <v>1</v>
      </c>
      <c r="I433" s="11">
        <v>0</v>
      </c>
      <c r="J433" s="11">
        <v>0</v>
      </c>
      <c r="K433" s="11">
        <v>0</v>
      </c>
      <c r="L433" s="11">
        <v>1</v>
      </c>
      <c r="M433" s="11">
        <v>1</v>
      </c>
      <c r="N433" s="11">
        <v>0</v>
      </c>
      <c r="O433" s="11">
        <v>0</v>
      </c>
      <c r="P433" s="11">
        <v>1</v>
      </c>
      <c r="Q433" s="11">
        <v>1</v>
      </c>
      <c r="R433" s="11">
        <v>0</v>
      </c>
      <c r="S433" s="11">
        <v>0</v>
      </c>
      <c r="T433" s="11">
        <v>1</v>
      </c>
      <c r="U433" s="11">
        <v>0</v>
      </c>
      <c r="V433" s="11">
        <v>0</v>
      </c>
      <c r="W433" s="11">
        <v>1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1</v>
      </c>
      <c r="AD433" s="11">
        <v>0</v>
      </c>
      <c r="AE433" s="11">
        <v>1</v>
      </c>
      <c r="AF433" s="11">
        <v>1</v>
      </c>
      <c r="AG433" s="11">
        <v>1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1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5">
        <f t="shared" si="64"/>
        <v>39.046601047487201</v>
      </c>
      <c r="BH433" s="3">
        <f t="shared" si="65"/>
        <v>9.9716632977766828</v>
      </c>
      <c r="BI433" s="3">
        <f t="shared" si="66"/>
        <v>45.028336702223314</v>
      </c>
      <c r="BJ433" s="3">
        <f t="shared" si="58"/>
        <v>-1.5075445957558899</v>
      </c>
      <c r="BK433" s="3">
        <f t="shared" si="59"/>
        <v>-0.45609683602320777</v>
      </c>
      <c r="BL433" s="3">
        <f t="shared" si="60"/>
        <v>0.94333424358242735</v>
      </c>
      <c r="BM433" s="3">
        <f t="shared" si="61"/>
        <v>-1.1146078570620743</v>
      </c>
      <c r="BN433" s="3">
        <f t="shared" si="62"/>
        <v>38.853921429379255</v>
      </c>
      <c r="BO433" s="2" t="str">
        <f t="shared" si="63"/>
        <v>NC</v>
      </c>
    </row>
    <row r="434" spans="1:67" x14ac:dyDescent="0.35">
      <c r="A434" s="1">
        <v>433</v>
      </c>
      <c r="B434" s="10" t="s">
        <v>400</v>
      </c>
      <c r="C434" s="14">
        <v>12</v>
      </c>
      <c r="D434" s="11">
        <v>0</v>
      </c>
      <c r="E434" s="11">
        <v>1</v>
      </c>
      <c r="F434" s="11">
        <v>1</v>
      </c>
      <c r="G434" s="11">
        <v>0</v>
      </c>
      <c r="H434" s="11">
        <v>0</v>
      </c>
      <c r="I434" s="11">
        <v>0</v>
      </c>
      <c r="J434" s="11">
        <v>0</v>
      </c>
      <c r="K434" s="11">
        <v>1</v>
      </c>
      <c r="L434" s="11">
        <v>0</v>
      </c>
      <c r="M434" s="11">
        <v>1</v>
      </c>
      <c r="N434" s="11">
        <v>0</v>
      </c>
      <c r="O434" s="11">
        <v>1</v>
      </c>
      <c r="P434" s="11">
        <v>1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1</v>
      </c>
      <c r="W434" s="11">
        <v>0</v>
      </c>
      <c r="X434" s="11">
        <v>0</v>
      </c>
      <c r="Y434" s="11">
        <v>0</v>
      </c>
      <c r="Z434" s="11">
        <v>1</v>
      </c>
      <c r="AA434" s="11">
        <v>0</v>
      </c>
      <c r="AB434" s="11">
        <v>1</v>
      </c>
      <c r="AC434" s="11">
        <v>0</v>
      </c>
      <c r="AD434" s="11">
        <v>0</v>
      </c>
      <c r="AE434" s="11">
        <v>0</v>
      </c>
      <c r="AF434" s="11">
        <v>1</v>
      </c>
      <c r="AG434" s="11">
        <v>0</v>
      </c>
      <c r="AH434" s="11">
        <v>1</v>
      </c>
      <c r="AI434" s="11">
        <v>0</v>
      </c>
      <c r="AJ434" s="11">
        <v>0</v>
      </c>
      <c r="AK434" s="11">
        <v>0</v>
      </c>
      <c r="AL434" s="11">
        <v>0</v>
      </c>
      <c r="AM434" s="11">
        <v>1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5">
        <f t="shared" si="64"/>
        <v>38.594087347821173</v>
      </c>
      <c r="BH434" s="3">
        <f t="shared" si="65"/>
        <v>9.8561010175870916</v>
      </c>
      <c r="BI434" s="3">
        <f t="shared" si="66"/>
        <v>45.143898982412907</v>
      </c>
      <c r="BJ434" s="3">
        <f t="shared" si="58"/>
        <v>-1.5217644869016462</v>
      </c>
      <c r="BK434" s="3">
        <f t="shared" si="59"/>
        <v>-0.45609683602320777</v>
      </c>
      <c r="BL434" s="3">
        <f t="shared" si="60"/>
        <v>0.94333424358242735</v>
      </c>
      <c r="BM434" s="3">
        <f t="shared" si="61"/>
        <v>-1.129681932070477</v>
      </c>
      <c r="BN434" s="3">
        <f t="shared" si="62"/>
        <v>38.70318067929523</v>
      </c>
      <c r="BO434" s="2" t="str">
        <f t="shared" si="63"/>
        <v>NC</v>
      </c>
    </row>
    <row r="435" spans="1:67" x14ac:dyDescent="0.35">
      <c r="A435" s="15">
        <v>434</v>
      </c>
      <c r="B435" s="10" t="s">
        <v>401</v>
      </c>
      <c r="C435" s="14">
        <v>13</v>
      </c>
      <c r="D435" s="11">
        <v>1</v>
      </c>
      <c r="E435" s="11">
        <v>1</v>
      </c>
      <c r="F435" s="11">
        <v>0</v>
      </c>
      <c r="G435" s="11">
        <v>0</v>
      </c>
      <c r="H435" s="11">
        <v>1</v>
      </c>
      <c r="I435" s="11">
        <v>0</v>
      </c>
      <c r="J435" s="11">
        <v>0</v>
      </c>
      <c r="K435" s="11">
        <v>0</v>
      </c>
      <c r="L435" s="11">
        <v>1</v>
      </c>
      <c r="M435" s="11">
        <v>0</v>
      </c>
      <c r="N435" s="11">
        <v>0</v>
      </c>
      <c r="O435" s="11">
        <v>1</v>
      </c>
      <c r="P435" s="11">
        <v>0</v>
      </c>
      <c r="Q435" s="11">
        <v>1</v>
      </c>
      <c r="R435" s="11">
        <v>1</v>
      </c>
      <c r="S435" s="11">
        <v>0</v>
      </c>
      <c r="T435" s="11">
        <v>1</v>
      </c>
      <c r="U435" s="11">
        <v>1</v>
      </c>
      <c r="V435" s="11">
        <v>0</v>
      </c>
      <c r="W435" s="11">
        <v>0</v>
      </c>
      <c r="X435" s="11">
        <v>1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1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1</v>
      </c>
      <c r="AL435" s="11">
        <v>0</v>
      </c>
      <c r="AM435" s="11">
        <v>1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5">
        <f t="shared" si="64"/>
        <v>38.480119229685656</v>
      </c>
      <c r="BH435" s="3">
        <f t="shared" si="65"/>
        <v>9.8269960079257785</v>
      </c>
      <c r="BI435" s="3">
        <f t="shared" si="66"/>
        <v>45.173003992074221</v>
      </c>
      <c r="BJ435" s="3">
        <f t="shared" si="58"/>
        <v>-1.5253663584518549</v>
      </c>
      <c r="BK435" s="3">
        <f t="shared" si="59"/>
        <v>-0.45609683602320777</v>
      </c>
      <c r="BL435" s="3">
        <f t="shared" si="60"/>
        <v>0.94333424358242735</v>
      </c>
      <c r="BM435" s="3">
        <f t="shared" si="61"/>
        <v>-1.1335001667786013</v>
      </c>
      <c r="BN435" s="3">
        <f t="shared" si="62"/>
        <v>38.664998332213983</v>
      </c>
      <c r="BO435" s="2" t="str">
        <f t="shared" si="63"/>
        <v>NC</v>
      </c>
    </row>
    <row r="436" spans="1:67" x14ac:dyDescent="0.35">
      <c r="A436" s="15">
        <v>435</v>
      </c>
      <c r="B436" s="10" t="s">
        <v>402</v>
      </c>
      <c r="C436" s="14">
        <v>12</v>
      </c>
      <c r="D436" s="11">
        <v>1</v>
      </c>
      <c r="E436" s="11">
        <v>0</v>
      </c>
      <c r="F436" s="11">
        <v>1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1</v>
      </c>
      <c r="P436" s="11">
        <v>1</v>
      </c>
      <c r="Q436" s="11">
        <v>1</v>
      </c>
      <c r="R436" s="11">
        <v>0</v>
      </c>
      <c r="S436" s="11">
        <v>0</v>
      </c>
      <c r="T436" s="11">
        <v>0</v>
      </c>
      <c r="U436" s="11">
        <v>1</v>
      </c>
      <c r="V436" s="11">
        <v>1</v>
      </c>
      <c r="W436" s="11">
        <v>1</v>
      </c>
      <c r="X436" s="11">
        <v>0</v>
      </c>
      <c r="Y436" s="11">
        <v>1</v>
      </c>
      <c r="Z436" s="11">
        <v>1</v>
      </c>
      <c r="AA436" s="11">
        <v>0</v>
      </c>
      <c r="AB436" s="11">
        <v>0</v>
      </c>
      <c r="AC436" s="11">
        <v>0</v>
      </c>
      <c r="AD436" s="11">
        <v>1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1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5">
        <f t="shared" si="64"/>
        <v>38.134434691582392</v>
      </c>
      <c r="BH436" s="3">
        <f t="shared" si="65"/>
        <v>9.7387156012132703</v>
      </c>
      <c r="BI436" s="3">
        <f t="shared" si="66"/>
        <v>45.261284398786728</v>
      </c>
      <c r="BJ436" s="3">
        <f t="shared" si="58"/>
        <v>-1.5363427775344407</v>
      </c>
      <c r="BK436" s="3">
        <f t="shared" si="59"/>
        <v>-0.45609683602320777</v>
      </c>
      <c r="BL436" s="3">
        <f t="shared" si="60"/>
        <v>0.94333424358242735</v>
      </c>
      <c r="BM436" s="3">
        <f t="shared" si="61"/>
        <v>-1.145135935497122</v>
      </c>
      <c r="BN436" s="3">
        <f t="shared" si="62"/>
        <v>38.548640645028783</v>
      </c>
      <c r="BO436" s="2" t="str">
        <f t="shared" si="63"/>
        <v>NC</v>
      </c>
    </row>
    <row r="437" spans="1:67" x14ac:dyDescent="0.35">
      <c r="A437" s="1">
        <v>436</v>
      </c>
      <c r="B437" s="10" t="s">
        <v>403</v>
      </c>
      <c r="C437" s="14">
        <v>13</v>
      </c>
      <c r="D437" s="11">
        <v>1</v>
      </c>
      <c r="E437" s="11">
        <v>0</v>
      </c>
      <c r="F437" s="11">
        <v>1</v>
      </c>
      <c r="G437" s="11">
        <v>1</v>
      </c>
      <c r="H437" s="11">
        <v>1</v>
      </c>
      <c r="I437" s="11">
        <v>1</v>
      </c>
      <c r="J437" s="11">
        <v>1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1</v>
      </c>
      <c r="Q437" s="11">
        <v>0</v>
      </c>
      <c r="R437" s="11">
        <v>1</v>
      </c>
      <c r="S437" s="11">
        <v>1</v>
      </c>
      <c r="T437" s="11">
        <v>1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1</v>
      </c>
      <c r="AE437" s="11">
        <v>0</v>
      </c>
      <c r="AF437" s="11">
        <v>0</v>
      </c>
      <c r="AG437" s="11">
        <v>0</v>
      </c>
      <c r="AH437" s="11">
        <v>0</v>
      </c>
      <c r="AI437" s="11">
        <v>1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1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5">
        <f t="shared" si="64"/>
        <v>38.022039747526293</v>
      </c>
      <c r="BH437" s="3">
        <f t="shared" si="65"/>
        <v>9.7100123464245414</v>
      </c>
      <c r="BI437" s="3">
        <f t="shared" si="66"/>
        <v>45.289987653575459</v>
      </c>
      <c r="BJ437" s="3">
        <f t="shared" si="58"/>
        <v>-1.5399284311410479</v>
      </c>
      <c r="BK437" s="3">
        <f t="shared" si="59"/>
        <v>-0.45609683602320777</v>
      </c>
      <c r="BL437" s="3">
        <f t="shared" si="60"/>
        <v>0.94333424358242735</v>
      </c>
      <c r="BM437" s="3">
        <f t="shared" si="61"/>
        <v>-1.1489369780554737</v>
      </c>
      <c r="BN437" s="3">
        <f t="shared" si="62"/>
        <v>38.510630219445261</v>
      </c>
      <c r="BO437" s="2" t="str">
        <f t="shared" si="63"/>
        <v>NC</v>
      </c>
    </row>
    <row r="438" spans="1:67" x14ac:dyDescent="0.35">
      <c r="A438" s="15">
        <v>437</v>
      </c>
      <c r="B438" s="12">
        <v>2499795</v>
      </c>
      <c r="C438" s="14">
        <v>14</v>
      </c>
      <c r="D438" s="11">
        <v>1</v>
      </c>
      <c r="E438" s="11">
        <v>1</v>
      </c>
      <c r="F438" s="11">
        <v>0</v>
      </c>
      <c r="G438" s="11">
        <v>1</v>
      </c>
      <c r="H438" s="11">
        <v>1</v>
      </c>
      <c r="I438" s="11">
        <v>1</v>
      </c>
      <c r="J438" s="11">
        <v>1</v>
      </c>
      <c r="K438" s="11">
        <v>0</v>
      </c>
      <c r="L438" s="11">
        <v>0</v>
      </c>
      <c r="M438" s="11">
        <v>1</v>
      </c>
      <c r="N438" s="11">
        <v>0</v>
      </c>
      <c r="O438" s="11">
        <v>0</v>
      </c>
      <c r="P438" s="11">
        <v>0</v>
      </c>
      <c r="Q438" s="11">
        <v>1</v>
      </c>
      <c r="R438" s="11">
        <v>0</v>
      </c>
      <c r="S438" s="11">
        <v>0</v>
      </c>
      <c r="T438" s="11">
        <v>0</v>
      </c>
      <c r="U438" s="11">
        <v>1</v>
      </c>
      <c r="V438" s="11">
        <v>0</v>
      </c>
      <c r="W438" s="11">
        <v>0</v>
      </c>
      <c r="X438" s="11">
        <v>0</v>
      </c>
      <c r="Y438" s="11">
        <v>0</v>
      </c>
      <c r="Z438" s="11">
        <v>1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1</v>
      </c>
      <c r="AG438" s="11">
        <v>1</v>
      </c>
      <c r="AH438" s="11">
        <v>0</v>
      </c>
      <c r="AI438" s="11">
        <v>0</v>
      </c>
      <c r="AJ438" s="11">
        <v>0</v>
      </c>
      <c r="AK438" s="11">
        <v>1</v>
      </c>
      <c r="AL438" s="11">
        <v>0</v>
      </c>
      <c r="AM438" s="11">
        <v>1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5">
        <f t="shared" si="64"/>
        <v>37.744367799891435</v>
      </c>
      <c r="BH438" s="3">
        <f t="shared" si="65"/>
        <v>9.6391008946009809</v>
      </c>
      <c r="BI438" s="3">
        <f t="shared" si="66"/>
        <v>45.360899105399021</v>
      </c>
      <c r="BJ438" s="3">
        <f t="shared" si="58"/>
        <v>-1.5488226446928632</v>
      </c>
      <c r="BK438" s="3">
        <f t="shared" si="59"/>
        <v>-0.45609683602320777</v>
      </c>
      <c r="BL438" s="3">
        <f t="shared" si="60"/>
        <v>0.94333424358242735</v>
      </c>
      <c r="BM438" s="3">
        <f t="shared" si="61"/>
        <v>-1.1583654638889131</v>
      </c>
      <c r="BN438" s="3">
        <f t="shared" si="62"/>
        <v>38.416345361110871</v>
      </c>
      <c r="BO438" s="2" t="str">
        <f t="shared" si="63"/>
        <v>NC</v>
      </c>
    </row>
    <row r="439" spans="1:67" x14ac:dyDescent="0.35">
      <c r="A439" s="15">
        <v>438</v>
      </c>
      <c r="B439" s="10" t="s">
        <v>404</v>
      </c>
      <c r="C439" s="14">
        <v>14</v>
      </c>
      <c r="D439" s="11">
        <v>1</v>
      </c>
      <c r="E439" s="11">
        <v>1</v>
      </c>
      <c r="F439" s="11">
        <v>0</v>
      </c>
      <c r="G439" s="11">
        <v>1</v>
      </c>
      <c r="H439" s="11">
        <v>1</v>
      </c>
      <c r="I439" s="11">
        <v>0</v>
      </c>
      <c r="J439" s="11">
        <v>1</v>
      </c>
      <c r="K439" s="11">
        <v>0</v>
      </c>
      <c r="L439" s="11">
        <v>0</v>
      </c>
      <c r="M439" s="11">
        <v>1</v>
      </c>
      <c r="N439" s="11">
        <v>1</v>
      </c>
      <c r="O439" s="11">
        <v>0</v>
      </c>
      <c r="P439" s="11">
        <v>1</v>
      </c>
      <c r="Q439" s="11">
        <v>1</v>
      </c>
      <c r="R439" s="11">
        <v>0</v>
      </c>
      <c r="S439" s="11">
        <v>0</v>
      </c>
      <c r="T439" s="11">
        <v>0</v>
      </c>
      <c r="U439" s="11">
        <v>1</v>
      </c>
      <c r="V439" s="11">
        <v>1</v>
      </c>
      <c r="W439" s="11">
        <v>1</v>
      </c>
      <c r="X439" s="11">
        <v>0</v>
      </c>
      <c r="Y439" s="11">
        <v>1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1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5">
        <f t="shared" si="64"/>
        <v>37.408206985206661</v>
      </c>
      <c r="BH439" s="3">
        <f t="shared" si="65"/>
        <v>9.5532526423071076</v>
      </c>
      <c r="BI439" s="3">
        <f t="shared" si="66"/>
        <v>45.446747357692892</v>
      </c>
      <c r="BJ439" s="3">
        <f t="shared" si="58"/>
        <v>-1.5596595654530343</v>
      </c>
      <c r="BK439" s="3">
        <f t="shared" si="59"/>
        <v>-0.45609683602320777</v>
      </c>
      <c r="BL439" s="3">
        <f t="shared" si="60"/>
        <v>0.94333424358242735</v>
      </c>
      <c r="BM439" s="3">
        <f t="shared" si="61"/>
        <v>-1.1698533546698271</v>
      </c>
      <c r="BN439" s="3">
        <f t="shared" si="62"/>
        <v>38.301466453301728</v>
      </c>
      <c r="BO439" s="2" t="str">
        <f t="shared" si="63"/>
        <v>NC</v>
      </c>
    </row>
    <row r="440" spans="1:67" x14ac:dyDescent="0.35">
      <c r="A440" s="1">
        <v>439</v>
      </c>
      <c r="B440" s="10" t="s">
        <v>405</v>
      </c>
      <c r="C440" s="14">
        <v>13</v>
      </c>
      <c r="D440" s="11">
        <v>1</v>
      </c>
      <c r="E440" s="11">
        <v>0</v>
      </c>
      <c r="F440" s="11">
        <v>1</v>
      </c>
      <c r="G440" s="11">
        <v>0</v>
      </c>
      <c r="H440" s="11">
        <v>1</v>
      </c>
      <c r="I440" s="11">
        <v>0</v>
      </c>
      <c r="J440" s="11">
        <v>0</v>
      </c>
      <c r="K440" s="11">
        <v>0</v>
      </c>
      <c r="L440" s="11">
        <v>1</v>
      </c>
      <c r="M440" s="11">
        <v>1</v>
      </c>
      <c r="N440" s="11">
        <v>1</v>
      </c>
      <c r="O440" s="11">
        <v>1</v>
      </c>
      <c r="P440" s="11">
        <v>0</v>
      </c>
      <c r="Q440" s="11">
        <v>0</v>
      </c>
      <c r="R440" s="11">
        <v>1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1</v>
      </c>
      <c r="AA440" s="11">
        <v>0</v>
      </c>
      <c r="AB440" s="11">
        <v>0</v>
      </c>
      <c r="AC440" s="11">
        <v>1</v>
      </c>
      <c r="AD440" s="11">
        <v>0</v>
      </c>
      <c r="AE440" s="11">
        <v>1</v>
      </c>
      <c r="AF440" s="11">
        <v>0</v>
      </c>
      <c r="AG440" s="11">
        <v>1</v>
      </c>
      <c r="AH440" s="11">
        <v>0</v>
      </c>
      <c r="AI440" s="11">
        <v>0</v>
      </c>
      <c r="AJ440" s="11">
        <v>1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5">
        <f t="shared" si="64"/>
        <v>37.287030574226762</v>
      </c>
      <c r="BH440" s="3">
        <f t="shared" si="65"/>
        <v>9.5223067894669331</v>
      </c>
      <c r="BI440" s="3">
        <f t="shared" si="66"/>
        <v>45.477693210533069</v>
      </c>
      <c r="BJ440" s="3">
        <f t="shared" si="58"/>
        <v>-1.5635848173625047</v>
      </c>
      <c r="BK440" s="3">
        <f t="shared" si="59"/>
        <v>-0.45609683602320777</v>
      </c>
      <c r="BL440" s="3">
        <f t="shared" si="60"/>
        <v>0.94333424358242735</v>
      </c>
      <c r="BM440" s="3">
        <f t="shared" si="61"/>
        <v>-1.1740143950817217</v>
      </c>
      <c r="BN440" s="3">
        <f t="shared" si="62"/>
        <v>38.259856049182787</v>
      </c>
      <c r="BO440" s="2" t="str">
        <f t="shared" si="63"/>
        <v>NC</v>
      </c>
    </row>
    <row r="441" spans="1:67" x14ac:dyDescent="0.35">
      <c r="A441" s="15">
        <v>440</v>
      </c>
      <c r="B441" s="10" t="s">
        <v>406</v>
      </c>
      <c r="C441" s="14">
        <v>14</v>
      </c>
      <c r="D441" s="11">
        <v>0</v>
      </c>
      <c r="E441" s="11">
        <v>0</v>
      </c>
      <c r="F441" s="11">
        <v>1</v>
      </c>
      <c r="G441" s="11">
        <v>1</v>
      </c>
      <c r="H441" s="11">
        <v>1</v>
      </c>
      <c r="I441" s="11">
        <v>0</v>
      </c>
      <c r="J441" s="11">
        <v>1</v>
      </c>
      <c r="K441" s="11">
        <v>0</v>
      </c>
      <c r="L441" s="11">
        <v>1</v>
      </c>
      <c r="M441" s="11">
        <v>1</v>
      </c>
      <c r="N441" s="11">
        <v>0</v>
      </c>
      <c r="O441" s="11">
        <v>1</v>
      </c>
      <c r="P441" s="11">
        <v>0</v>
      </c>
      <c r="Q441" s="11">
        <v>1</v>
      </c>
      <c r="R441" s="11">
        <v>0</v>
      </c>
      <c r="S441" s="11">
        <v>1</v>
      </c>
      <c r="T441" s="11">
        <v>1</v>
      </c>
      <c r="U441" s="11">
        <v>0</v>
      </c>
      <c r="V441" s="11">
        <v>1</v>
      </c>
      <c r="W441" s="11">
        <v>0</v>
      </c>
      <c r="X441" s="11">
        <v>0</v>
      </c>
      <c r="Y441" s="11">
        <v>0</v>
      </c>
      <c r="Z441" s="11">
        <v>1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1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1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5">
        <f t="shared" si="64"/>
        <v>36.655787314652414</v>
      </c>
      <c r="BH441" s="3">
        <f t="shared" si="65"/>
        <v>9.3611008182785262</v>
      </c>
      <c r="BI441" s="3">
        <f t="shared" si="66"/>
        <v>45.63889918172147</v>
      </c>
      <c r="BJ441" s="3">
        <f t="shared" si="58"/>
        <v>-1.5841975127442396</v>
      </c>
      <c r="BK441" s="3">
        <f t="shared" si="59"/>
        <v>-0.45609683602320777</v>
      </c>
      <c r="BL441" s="3">
        <f t="shared" si="60"/>
        <v>0.94333424358242735</v>
      </c>
      <c r="BM441" s="3">
        <f t="shared" si="61"/>
        <v>-1.1958652878294032</v>
      </c>
      <c r="BN441" s="3">
        <f t="shared" si="62"/>
        <v>38.041347121705968</v>
      </c>
      <c r="BO441" s="2" t="str">
        <f t="shared" si="63"/>
        <v>NC</v>
      </c>
    </row>
    <row r="442" spans="1:67" x14ac:dyDescent="0.35">
      <c r="A442" s="15">
        <v>441</v>
      </c>
      <c r="B442" s="10" t="s">
        <v>407</v>
      </c>
      <c r="C442" s="14">
        <v>14</v>
      </c>
      <c r="D442" s="11">
        <v>1</v>
      </c>
      <c r="E442" s="11">
        <v>0</v>
      </c>
      <c r="F442" s="11">
        <v>1</v>
      </c>
      <c r="G442" s="11">
        <v>1</v>
      </c>
      <c r="H442" s="11">
        <v>1</v>
      </c>
      <c r="I442" s="11">
        <v>0</v>
      </c>
      <c r="J442" s="11">
        <v>1</v>
      </c>
      <c r="K442" s="11">
        <v>1</v>
      </c>
      <c r="L442" s="11">
        <v>0</v>
      </c>
      <c r="M442" s="11">
        <v>1</v>
      </c>
      <c r="N442" s="11">
        <v>0</v>
      </c>
      <c r="O442" s="11">
        <v>0</v>
      </c>
      <c r="P442" s="11">
        <v>0</v>
      </c>
      <c r="Q442" s="11">
        <v>0</v>
      </c>
      <c r="R442" s="11">
        <v>1</v>
      </c>
      <c r="S442" s="11">
        <v>1</v>
      </c>
      <c r="T442" s="11">
        <v>1</v>
      </c>
      <c r="U442" s="11">
        <v>0</v>
      </c>
      <c r="V442" s="11">
        <v>0</v>
      </c>
      <c r="W442" s="11">
        <v>1</v>
      </c>
      <c r="X442" s="11">
        <v>0</v>
      </c>
      <c r="Y442" s="11">
        <v>0</v>
      </c>
      <c r="Z442" s="11">
        <v>1</v>
      </c>
      <c r="AA442" s="11">
        <v>0</v>
      </c>
      <c r="AB442" s="11">
        <v>0</v>
      </c>
      <c r="AC442" s="11">
        <v>1</v>
      </c>
      <c r="AD442" s="11">
        <v>0</v>
      </c>
      <c r="AE442" s="11">
        <v>1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5">
        <f t="shared" si="64"/>
        <v>36.292915040068472</v>
      </c>
      <c r="BH442" s="3">
        <f t="shared" si="65"/>
        <v>9.2684310328124671</v>
      </c>
      <c r="BI442" s="3">
        <f t="shared" si="66"/>
        <v>45.731568967187535</v>
      </c>
      <c r="BJ442" s="3">
        <f t="shared" si="58"/>
        <v>-1.596174733315578</v>
      </c>
      <c r="BK442" s="3">
        <f t="shared" si="59"/>
        <v>-0.45609683602320777</v>
      </c>
      <c r="BL442" s="3">
        <f t="shared" si="60"/>
        <v>0.94333424358242735</v>
      </c>
      <c r="BM442" s="3">
        <f t="shared" si="61"/>
        <v>-1.208561975830311</v>
      </c>
      <c r="BN442" s="3">
        <f t="shared" si="62"/>
        <v>37.91438024169689</v>
      </c>
      <c r="BO442" s="2" t="str">
        <f t="shared" si="63"/>
        <v>NC</v>
      </c>
    </row>
    <row r="443" spans="1:67" x14ac:dyDescent="0.35">
      <c r="A443" s="1">
        <v>442</v>
      </c>
      <c r="B443" s="10" t="s">
        <v>408</v>
      </c>
      <c r="C443" s="14">
        <v>12</v>
      </c>
      <c r="D443" s="11">
        <v>1</v>
      </c>
      <c r="E443" s="11">
        <v>1</v>
      </c>
      <c r="F443" s="11">
        <v>1</v>
      </c>
      <c r="G443" s="11">
        <v>1</v>
      </c>
      <c r="H443" s="11">
        <v>1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1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1</v>
      </c>
      <c r="V443" s="11">
        <v>1</v>
      </c>
      <c r="W443" s="11">
        <v>1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1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1</v>
      </c>
      <c r="AU443" s="11">
        <v>0</v>
      </c>
      <c r="AV443" s="11">
        <v>0</v>
      </c>
      <c r="AW443" s="11">
        <v>1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5">
        <f t="shared" si="64"/>
        <v>36.196893594535503</v>
      </c>
      <c r="BH443" s="3">
        <f t="shared" si="65"/>
        <v>9.2439092178904438</v>
      </c>
      <c r="BI443" s="3">
        <f t="shared" si="66"/>
        <v>45.756090782109553</v>
      </c>
      <c r="BJ443" s="3">
        <f t="shared" si="58"/>
        <v>-1.5993600429980168</v>
      </c>
      <c r="BK443" s="3">
        <f t="shared" si="59"/>
        <v>-0.45609683602320777</v>
      </c>
      <c r="BL443" s="3">
        <f t="shared" si="60"/>
        <v>0.94333424358242735</v>
      </c>
      <c r="BM443" s="3">
        <f t="shared" si="61"/>
        <v>-1.2119386259456955</v>
      </c>
      <c r="BN443" s="3">
        <f t="shared" si="62"/>
        <v>37.880613740543048</v>
      </c>
      <c r="BO443" s="2" t="str">
        <f t="shared" si="63"/>
        <v>NC</v>
      </c>
    </row>
    <row r="444" spans="1:67" x14ac:dyDescent="0.35">
      <c r="A444" s="15">
        <v>443</v>
      </c>
      <c r="B444" s="10" t="s">
        <v>409</v>
      </c>
      <c r="C444" s="14">
        <v>12</v>
      </c>
      <c r="D444" s="11">
        <v>0</v>
      </c>
      <c r="E444" s="11">
        <v>0</v>
      </c>
      <c r="F444" s="11">
        <v>1</v>
      </c>
      <c r="G444" s="11">
        <v>0</v>
      </c>
      <c r="H444" s="11">
        <v>1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1</v>
      </c>
      <c r="Q444" s="11">
        <v>1</v>
      </c>
      <c r="R444" s="11">
        <v>0</v>
      </c>
      <c r="S444" s="11">
        <v>1</v>
      </c>
      <c r="T444" s="11">
        <v>1</v>
      </c>
      <c r="U444" s="11">
        <v>0</v>
      </c>
      <c r="V444" s="11">
        <v>1</v>
      </c>
      <c r="W444" s="11">
        <v>0</v>
      </c>
      <c r="X444" s="11">
        <v>0</v>
      </c>
      <c r="Y444" s="11">
        <v>0</v>
      </c>
      <c r="Z444" s="11">
        <v>1</v>
      </c>
      <c r="AA444" s="11">
        <v>0</v>
      </c>
      <c r="AB444" s="11">
        <v>0</v>
      </c>
      <c r="AC444" s="11">
        <v>0</v>
      </c>
      <c r="AD444" s="11">
        <v>1</v>
      </c>
      <c r="AE444" s="11">
        <v>0</v>
      </c>
      <c r="AF444" s="11">
        <v>1</v>
      </c>
      <c r="AG444" s="11">
        <v>1</v>
      </c>
      <c r="AH444" s="11">
        <v>0</v>
      </c>
      <c r="AI444" s="11">
        <v>0</v>
      </c>
      <c r="AJ444" s="11">
        <v>0</v>
      </c>
      <c r="AK444" s="11">
        <v>1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5">
        <f t="shared" si="64"/>
        <v>36.048029364753759</v>
      </c>
      <c r="BH444" s="3">
        <f t="shared" si="65"/>
        <v>9.2058924907837465</v>
      </c>
      <c r="BI444" s="3">
        <f t="shared" si="66"/>
        <v>45.794107509216254</v>
      </c>
      <c r="BJ444" s="3">
        <f t="shared" si="58"/>
        <v>-1.6043116586804245</v>
      </c>
      <c r="BK444" s="3">
        <f t="shared" si="59"/>
        <v>-0.45609683602320777</v>
      </c>
      <c r="BL444" s="3">
        <f t="shared" si="60"/>
        <v>0.94333424358242735</v>
      </c>
      <c r="BM444" s="3">
        <f t="shared" si="61"/>
        <v>-1.2171876834415871</v>
      </c>
      <c r="BN444" s="3">
        <f t="shared" si="62"/>
        <v>37.828123165584131</v>
      </c>
      <c r="BO444" s="2" t="str">
        <f t="shared" si="63"/>
        <v>NC</v>
      </c>
    </row>
    <row r="445" spans="1:67" x14ac:dyDescent="0.35">
      <c r="A445" s="15">
        <v>444</v>
      </c>
      <c r="B445" s="12">
        <v>1234567</v>
      </c>
      <c r="C445" s="14">
        <v>14</v>
      </c>
      <c r="D445" s="11">
        <v>0</v>
      </c>
      <c r="E445" s="11">
        <v>0</v>
      </c>
      <c r="F445" s="11">
        <v>0</v>
      </c>
      <c r="G445" s="11">
        <v>1</v>
      </c>
      <c r="H445" s="11">
        <v>1</v>
      </c>
      <c r="I445" s="11">
        <v>0</v>
      </c>
      <c r="J445" s="11">
        <v>1</v>
      </c>
      <c r="K445" s="11">
        <v>1</v>
      </c>
      <c r="L445" s="11">
        <v>1</v>
      </c>
      <c r="M445" s="11">
        <v>1</v>
      </c>
      <c r="N445" s="11">
        <v>1</v>
      </c>
      <c r="O445" s="11">
        <v>1</v>
      </c>
      <c r="P445" s="11">
        <v>0</v>
      </c>
      <c r="Q445" s="11">
        <v>1</v>
      </c>
      <c r="R445" s="11">
        <v>0</v>
      </c>
      <c r="S445" s="11">
        <v>0</v>
      </c>
      <c r="T445" s="11">
        <v>1</v>
      </c>
      <c r="U445" s="11">
        <v>0</v>
      </c>
      <c r="V445" s="11">
        <v>1</v>
      </c>
      <c r="W445" s="11">
        <v>1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1</v>
      </c>
      <c r="AF445" s="11">
        <v>0</v>
      </c>
      <c r="AG445" s="11">
        <v>0</v>
      </c>
      <c r="AH445" s="11">
        <v>1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5">
        <f t="shared" si="64"/>
        <v>35.917901591027025</v>
      </c>
      <c r="BH445" s="3">
        <f t="shared" si="65"/>
        <v>9.1726606521477994</v>
      </c>
      <c r="BI445" s="3">
        <f t="shared" si="66"/>
        <v>45.827339347852202</v>
      </c>
      <c r="BJ445" s="3">
        <f t="shared" si="58"/>
        <v>-1.6086534503841481</v>
      </c>
      <c r="BK445" s="3">
        <f t="shared" si="59"/>
        <v>-0.45609683602320777</v>
      </c>
      <c r="BL445" s="3">
        <f t="shared" si="60"/>
        <v>0.94333424358242735</v>
      </c>
      <c r="BM445" s="3">
        <f t="shared" si="61"/>
        <v>-1.2217902850467564</v>
      </c>
      <c r="BN445" s="3">
        <f t="shared" si="62"/>
        <v>37.782097149532433</v>
      </c>
      <c r="BO445" s="2" t="str">
        <f t="shared" si="63"/>
        <v>NC</v>
      </c>
    </row>
    <row r="446" spans="1:67" x14ac:dyDescent="0.35">
      <c r="A446" s="1">
        <v>445</v>
      </c>
      <c r="B446" s="10" t="s">
        <v>410</v>
      </c>
      <c r="C446" s="14">
        <v>11</v>
      </c>
      <c r="D446" s="11">
        <v>0</v>
      </c>
      <c r="E446" s="11">
        <v>0</v>
      </c>
      <c r="F446" s="11">
        <v>1</v>
      </c>
      <c r="G446" s="11">
        <v>0</v>
      </c>
      <c r="H446" s="11">
        <v>0</v>
      </c>
      <c r="I446" s="11">
        <v>1</v>
      </c>
      <c r="J446" s="11">
        <v>0</v>
      </c>
      <c r="K446" s="11">
        <v>0</v>
      </c>
      <c r="L446" s="11">
        <v>1</v>
      </c>
      <c r="M446" s="11">
        <v>0</v>
      </c>
      <c r="N446" s="11">
        <v>1</v>
      </c>
      <c r="O446" s="11">
        <v>1</v>
      </c>
      <c r="P446" s="11">
        <v>0</v>
      </c>
      <c r="Q446" s="11">
        <v>0</v>
      </c>
      <c r="R446" s="11">
        <v>0</v>
      </c>
      <c r="S446" s="11">
        <v>1</v>
      </c>
      <c r="T446" s="11">
        <v>0</v>
      </c>
      <c r="U446" s="11">
        <v>0</v>
      </c>
      <c r="V446" s="11">
        <v>1</v>
      </c>
      <c r="W446" s="11">
        <v>0</v>
      </c>
      <c r="X446" s="11">
        <v>0</v>
      </c>
      <c r="Y446" s="11">
        <v>0</v>
      </c>
      <c r="Z446" s="11">
        <v>1</v>
      </c>
      <c r="AA446" s="11">
        <v>0</v>
      </c>
      <c r="AB446" s="11">
        <v>1</v>
      </c>
      <c r="AC446" s="11">
        <v>0</v>
      </c>
      <c r="AD446" s="11">
        <v>0</v>
      </c>
      <c r="AE446" s="11">
        <v>1</v>
      </c>
      <c r="AF446" s="11">
        <v>0</v>
      </c>
      <c r="AG446" s="11">
        <v>1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5">
        <f t="shared" si="64"/>
        <v>35.70495697234881</v>
      </c>
      <c r="BH446" s="3">
        <f t="shared" si="65"/>
        <v>9.1182791699811396</v>
      </c>
      <c r="BI446" s="3">
        <f t="shared" si="66"/>
        <v>45.881720830018864</v>
      </c>
      <c r="BJ446" s="3">
        <f t="shared" si="58"/>
        <v>-1.6157856999704348</v>
      </c>
      <c r="BK446" s="3">
        <f t="shared" si="59"/>
        <v>-0.45609683602320777</v>
      </c>
      <c r="BL446" s="3">
        <f t="shared" si="60"/>
        <v>0.94333424358242735</v>
      </c>
      <c r="BM446" s="3">
        <f t="shared" si="61"/>
        <v>-1.2293509663586115</v>
      </c>
      <c r="BN446" s="3">
        <f t="shared" si="62"/>
        <v>37.706490336413886</v>
      </c>
      <c r="BO446" s="2" t="str">
        <f t="shared" si="63"/>
        <v>NC</v>
      </c>
    </row>
    <row r="447" spans="1:67" x14ac:dyDescent="0.35">
      <c r="A447" s="15">
        <v>446</v>
      </c>
      <c r="B447" s="10" t="s">
        <v>411</v>
      </c>
      <c r="C447" s="14">
        <v>12</v>
      </c>
      <c r="D447" s="11">
        <v>1</v>
      </c>
      <c r="E447" s="11">
        <v>1</v>
      </c>
      <c r="F447" s="11">
        <v>1</v>
      </c>
      <c r="G447" s="11">
        <v>1</v>
      </c>
      <c r="H447" s="11">
        <v>1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1</v>
      </c>
      <c r="P447" s="11">
        <v>0</v>
      </c>
      <c r="Q447" s="11">
        <v>0</v>
      </c>
      <c r="R447" s="11">
        <v>1</v>
      </c>
      <c r="S447" s="11">
        <v>1</v>
      </c>
      <c r="T447" s="11">
        <v>1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1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1</v>
      </c>
      <c r="AJ447" s="11">
        <v>1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5">
        <f t="shared" si="64"/>
        <v>35.196983342975336</v>
      </c>
      <c r="BH447" s="3">
        <f t="shared" si="65"/>
        <v>8.9885536148655589</v>
      </c>
      <c r="BI447" s="3">
        <f t="shared" si="66"/>
        <v>46.011446385134441</v>
      </c>
      <c r="BJ447" s="3">
        <f t="shared" si="58"/>
        <v>-1.6329382526788256</v>
      </c>
      <c r="BK447" s="3">
        <f t="shared" si="59"/>
        <v>-0.45609683602320777</v>
      </c>
      <c r="BL447" s="3">
        <f t="shared" si="60"/>
        <v>0.94333424358242735</v>
      </c>
      <c r="BM447" s="3">
        <f t="shared" si="61"/>
        <v>-1.2475338668788472</v>
      </c>
      <c r="BN447" s="3">
        <f t="shared" si="62"/>
        <v>37.524661331211533</v>
      </c>
      <c r="BO447" s="2" t="str">
        <f t="shared" si="63"/>
        <v>NC</v>
      </c>
    </row>
    <row r="448" spans="1:67" x14ac:dyDescent="0.35">
      <c r="A448" s="15">
        <v>447</v>
      </c>
      <c r="B448" s="10" t="s">
        <v>412</v>
      </c>
      <c r="C448" s="14">
        <v>13</v>
      </c>
      <c r="D448" s="11">
        <v>1</v>
      </c>
      <c r="E448" s="11">
        <v>1</v>
      </c>
      <c r="F448" s="11">
        <v>0</v>
      </c>
      <c r="G448" s="11">
        <v>1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1</v>
      </c>
      <c r="N448" s="11">
        <v>1</v>
      </c>
      <c r="O448" s="11">
        <v>1</v>
      </c>
      <c r="P448" s="11">
        <v>0</v>
      </c>
      <c r="Q448" s="11">
        <v>1</v>
      </c>
      <c r="R448" s="11">
        <v>0</v>
      </c>
      <c r="S448" s="11">
        <v>0</v>
      </c>
      <c r="T448" s="11">
        <v>1</v>
      </c>
      <c r="U448" s="11">
        <v>1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1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1</v>
      </c>
      <c r="AL448" s="11">
        <v>1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5">
        <f t="shared" si="64"/>
        <v>34.774869806449388</v>
      </c>
      <c r="BH448" s="3">
        <f t="shared" si="65"/>
        <v>8.8807548834330472</v>
      </c>
      <c r="BI448" s="3">
        <f t="shared" si="66"/>
        <v>46.119245116566951</v>
      </c>
      <c r="BJ448" s="3">
        <f t="shared" si="58"/>
        <v>-1.6473437646695288</v>
      </c>
      <c r="BK448" s="3">
        <f t="shared" si="59"/>
        <v>-0.45609683602320777</v>
      </c>
      <c r="BL448" s="3">
        <f t="shared" si="60"/>
        <v>0.94333424358242735</v>
      </c>
      <c r="BM448" s="3">
        <f t="shared" si="61"/>
        <v>-1.2628047129111044</v>
      </c>
      <c r="BN448" s="3">
        <f t="shared" si="62"/>
        <v>37.371952870888954</v>
      </c>
      <c r="BO448" s="2" t="str">
        <f t="shared" si="63"/>
        <v>NC</v>
      </c>
    </row>
    <row r="449" spans="1:67" x14ac:dyDescent="0.35">
      <c r="A449" s="1">
        <v>448</v>
      </c>
      <c r="B449" s="10" t="s">
        <v>413</v>
      </c>
      <c r="C449" s="14">
        <v>12</v>
      </c>
      <c r="D449" s="11">
        <v>1</v>
      </c>
      <c r="E449" s="11">
        <v>0</v>
      </c>
      <c r="F449" s="11">
        <v>1</v>
      </c>
      <c r="G449" s="11">
        <v>0</v>
      </c>
      <c r="H449" s="11">
        <v>1</v>
      </c>
      <c r="I449" s="11">
        <v>1</v>
      </c>
      <c r="J449" s="11">
        <v>0</v>
      </c>
      <c r="K449" s="11">
        <v>1</v>
      </c>
      <c r="L449" s="11">
        <v>0</v>
      </c>
      <c r="M449" s="11">
        <v>0</v>
      </c>
      <c r="N449" s="11">
        <v>0</v>
      </c>
      <c r="O449" s="11">
        <v>0</v>
      </c>
      <c r="P449" s="11">
        <v>1</v>
      </c>
      <c r="Q449" s="11">
        <v>1</v>
      </c>
      <c r="R449" s="11">
        <v>0</v>
      </c>
      <c r="S449" s="11">
        <v>0</v>
      </c>
      <c r="T449" s="11">
        <v>0</v>
      </c>
      <c r="U449" s="11">
        <v>0</v>
      </c>
      <c r="V449" s="11">
        <v>1</v>
      </c>
      <c r="W449" s="11">
        <v>0</v>
      </c>
      <c r="X449" s="11">
        <v>1</v>
      </c>
      <c r="Y449" s="11">
        <v>0</v>
      </c>
      <c r="Z449" s="11">
        <v>0</v>
      </c>
      <c r="AA449" s="11">
        <v>0</v>
      </c>
      <c r="AB449" s="11">
        <v>0</v>
      </c>
      <c r="AC449" s="11">
        <v>1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1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1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5">
        <f t="shared" si="64"/>
        <v>34.67569006384393</v>
      </c>
      <c r="BH449" s="3">
        <f t="shared" si="65"/>
        <v>8.8554265072699341</v>
      </c>
      <c r="BI449" s="3">
        <f t="shared" si="66"/>
        <v>46.144573492730068</v>
      </c>
      <c r="BJ449" s="3">
        <f t="shared" si="58"/>
        <v>-1.6507489341379835</v>
      </c>
      <c r="BK449" s="3">
        <f t="shared" si="59"/>
        <v>-0.45609683602320777</v>
      </c>
      <c r="BL449" s="3">
        <f t="shared" si="60"/>
        <v>0.94333424358242735</v>
      </c>
      <c r="BM449" s="3">
        <f t="shared" si="61"/>
        <v>-1.2664144297125672</v>
      </c>
      <c r="BN449" s="3">
        <f t="shared" si="62"/>
        <v>37.335855702874326</v>
      </c>
      <c r="BO449" s="2" t="str">
        <f t="shared" si="63"/>
        <v>NC</v>
      </c>
    </row>
    <row r="450" spans="1:67" x14ac:dyDescent="0.35">
      <c r="A450" s="15">
        <v>449</v>
      </c>
      <c r="B450" s="10" t="s">
        <v>414</v>
      </c>
      <c r="C450" s="14">
        <v>12</v>
      </c>
      <c r="D450" s="11">
        <v>0</v>
      </c>
      <c r="E450" s="11">
        <v>0</v>
      </c>
      <c r="F450" s="11">
        <v>1</v>
      </c>
      <c r="G450" s="11">
        <v>1</v>
      </c>
      <c r="H450" s="11">
        <v>1</v>
      </c>
      <c r="I450" s="11">
        <v>0</v>
      </c>
      <c r="J450" s="11">
        <v>0</v>
      </c>
      <c r="K450" s="11">
        <v>1</v>
      </c>
      <c r="L450" s="11">
        <v>0</v>
      </c>
      <c r="M450" s="11">
        <v>1</v>
      </c>
      <c r="N450" s="11">
        <v>0</v>
      </c>
      <c r="O450" s="11">
        <v>0</v>
      </c>
      <c r="P450" s="11">
        <v>0</v>
      </c>
      <c r="Q450" s="11">
        <v>1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1</v>
      </c>
      <c r="AA450" s="11">
        <v>1</v>
      </c>
      <c r="AB450" s="11">
        <v>0</v>
      </c>
      <c r="AC450" s="11">
        <v>0</v>
      </c>
      <c r="AD450" s="11">
        <v>1</v>
      </c>
      <c r="AE450" s="11">
        <v>0</v>
      </c>
      <c r="AF450" s="11">
        <v>0</v>
      </c>
      <c r="AG450" s="11">
        <v>1</v>
      </c>
      <c r="AH450" s="11">
        <v>1</v>
      </c>
      <c r="AI450" s="11">
        <v>1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5">
        <f t="shared" si="64"/>
        <v>33.419137974730553</v>
      </c>
      <c r="BH450" s="3">
        <f t="shared" si="65"/>
        <v>8.5345300908694899</v>
      </c>
      <c r="BI450" s="3">
        <f t="shared" si="66"/>
        <v>46.465469909130512</v>
      </c>
      <c r="BJ450" s="3">
        <f t="shared" ref="BJ450:BJ472" si="67">LN(BH450/BI450)</f>
        <v>-1.6945891561351769</v>
      </c>
      <c r="BK450" s="3">
        <f t="shared" si="59"/>
        <v>-0.45609683602320777</v>
      </c>
      <c r="BL450" s="3">
        <f t="shared" si="60"/>
        <v>0.94333424358242735</v>
      </c>
      <c r="BM450" s="3">
        <f t="shared" si="61"/>
        <v>-1.3128881184347159</v>
      </c>
      <c r="BN450" s="3">
        <f t="shared" si="62"/>
        <v>36.871118815652842</v>
      </c>
      <c r="BO450" s="2" t="str">
        <f t="shared" si="63"/>
        <v>NC</v>
      </c>
    </row>
    <row r="451" spans="1:67" x14ac:dyDescent="0.35">
      <c r="A451" s="15">
        <v>450</v>
      </c>
      <c r="B451" s="10" t="s">
        <v>415</v>
      </c>
      <c r="C451" s="14">
        <v>13</v>
      </c>
      <c r="D451" s="11">
        <v>0</v>
      </c>
      <c r="E451" s="11">
        <v>1</v>
      </c>
      <c r="F451" s="11">
        <v>1</v>
      </c>
      <c r="G451" s="11">
        <v>1</v>
      </c>
      <c r="H451" s="11">
        <v>1</v>
      </c>
      <c r="I451" s="11">
        <v>1</v>
      </c>
      <c r="J451" s="11">
        <v>0</v>
      </c>
      <c r="K451" s="11">
        <v>0</v>
      </c>
      <c r="L451" s="11">
        <v>1</v>
      </c>
      <c r="M451" s="11">
        <v>1</v>
      </c>
      <c r="N451" s="11">
        <v>0</v>
      </c>
      <c r="O451" s="11">
        <v>0</v>
      </c>
      <c r="P451" s="11">
        <v>1</v>
      </c>
      <c r="Q451" s="11">
        <v>1</v>
      </c>
      <c r="R451" s="11">
        <v>1</v>
      </c>
      <c r="S451" s="11">
        <v>1</v>
      </c>
      <c r="T451" s="11">
        <v>1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1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5">
        <f t="shared" si="64"/>
        <v>32.722403432717037</v>
      </c>
      <c r="BH451" s="3">
        <f t="shared" si="65"/>
        <v>8.3565990527122906</v>
      </c>
      <c r="BI451" s="3">
        <f t="shared" si="66"/>
        <v>46.643400947287709</v>
      </c>
      <c r="BJ451" s="3">
        <f t="shared" si="67"/>
        <v>-1.7194799260440203</v>
      </c>
      <c r="BK451" s="3">
        <f t="shared" ref="BK451:BK472" si="68">AVERAGE($BJ$2:$BJ$472)</f>
        <v>-0.45609683602320777</v>
      </c>
      <c r="BL451" s="3">
        <f t="shared" ref="BL451:BL472" si="69">_xlfn.STDEV.S($BJ$2:$BJ$472)</f>
        <v>0.94333424358242735</v>
      </c>
      <c r="BM451" s="3">
        <f t="shared" ref="BM451:BM471" si="70">(BJ451-BK451)/BL451</f>
        <v>-1.3392740681425499</v>
      </c>
      <c r="BN451" s="3">
        <f t="shared" ref="BN451:BN472" si="71">50+10*BM451</f>
        <v>36.607259318574499</v>
      </c>
      <c r="BO451" s="2" t="str">
        <f t="shared" ref="BO451:BO472" si="72">IF(BN451&lt;45,"NC",IF(BN451&lt;50,"C",IF(BN451&lt;55,"C+",IF(BN451&lt;60,"B",IF(BN451&lt;65,"B+",IF(BN451&lt;=70,"A","A+"))))))</f>
        <v>NC</v>
      </c>
    </row>
    <row r="452" spans="1:67" x14ac:dyDescent="0.35">
      <c r="A452" s="1">
        <v>451</v>
      </c>
      <c r="B452" s="10" t="s">
        <v>416</v>
      </c>
      <c r="C452" s="14">
        <v>13</v>
      </c>
      <c r="D452" s="11">
        <v>0</v>
      </c>
      <c r="E452" s="11">
        <v>1</v>
      </c>
      <c r="F452" s="11">
        <v>0</v>
      </c>
      <c r="G452" s="11">
        <v>1</v>
      </c>
      <c r="H452" s="11">
        <v>1</v>
      </c>
      <c r="I452" s="11">
        <v>1</v>
      </c>
      <c r="J452" s="11">
        <v>1</v>
      </c>
      <c r="K452" s="11">
        <v>1</v>
      </c>
      <c r="L452" s="11">
        <v>0</v>
      </c>
      <c r="M452" s="11">
        <v>1</v>
      </c>
      <c r="N452" s="11">
        <v>1</v>
      </c>
      <c r="O452" s="11">
        <v>0</v>
      </c>
      <c r="P452" s="11">
        <v>0</v>
      </c>
      <c r="Q452" s="11">
        <v>1</v>
      </c>
      <c r="R452" s="11">
        <v>0</v>
      </c>
      <c r="S452" s="11">
        <v>1</v>
      </c>
      <c r="T452" s="11">
        <v>0</v>
      </c>
      <c r="U452" s="11">
        <v>1</v>
      </c>
      <c r="V452" s="11">
        <v>0</v>
      </c>
      <c r="W452" s="11">
        <v>0</v>
      </c>
      <c r="X452" s="11">
        <v>0</v>
      </c>
      <c r="Y452" s="11">
        <v>0</v>
      </c>
      <c r="Z452" s="11">
        <v>1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1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5">
        <f t="shared" ref="BG452:BG472" si="73">D452*$D$477+E452*$E$477+F452*$F$477+G452*$G$477+H452*$H$477+I452*$I$477+J452*$J$477+K452*$K$477+L452*$L$477+M452*$M$477+N452*$N$477+O452*$O$477+P452*$P$477+Q452*$Q$477+R452*$R$477+S452*$S$477+T452*$T$477+U452*$U$477+V452*$V$477+W452*W$477+X452*$X$477+Y452*$Y$477+Z452*$Z$477+AA452*$AA$477+AB452*$AB$477+AC452*$AC$477+AD452*$AD$477+AE452*$AE$477+AF452*$AF$477+AG452*$AG$477+AH452*$AH$477+AI452*$AI$477+AJ452*$AJ$477+AK452*$AK$477+AL452*$AL$477+AM452*$AM$477+AN452*$AN$477+AO452*$AO$477+AP452*$AP$477+AQ452*$AQ$477+AR452*$AR$477+AS452*$AS$477+AT452*$AT$477+AU452*$AU$477+AV452*$AV$477+AW452*$AW$477+AX452*$AX$477+AY452*$AY$477+AZ452*$AZ$477+BA452*$BA$477+BB452*$BB$477+BC452*$BC$477+BD452*$BD$477+BE452*$BE$477+BF452*$BF$477</f>
        <v>32.637960845148228</v>
      </c>
      <c r="BH452" s="3">
        <f t="shared" ref="BH452:BH472" si="74">BG452*55/$BG$2</f>
        <v>8.3350342294334308</v>
      </c>
      <c r="BI452" s="3">
        <f t="shared" ref="BI452:BI472" si="75">55-BH452</f>
        <v>46.664965770566567</v>
      </c>
      <c r="BJ452" s="3">
        <f t="shared" si="67"/>
        <v>-1.7225260625983905</v>
      </c>
      <c r="BK452" s="3">
        <f t="shared" si="68"/>
        <v>-0.45609683602320777</v>
      </c>
      <c r="BL452" s="3">
        <f t="shared" si="69"/>
        <v>0.94333424358242735</v>
      </c>
      <c r="BM452" s="3">
        <f t="shared" si="70"/>
        <v>-1.3425031850489839</v>
      </c>
      <c r="BN452" s="3">
        <f t="shared" si="71"/>
        <v>36.574968149510163</v>
      </c>
      <c r="BO452" s="2" t="str">
        <f t="shared" si="72"/>
        <v>NC</v>
      </c>
    </row>
    <row r="453" spans="1:67" x14ac:dyDescent="0.35">
      <c r="A453" s="15">
        <v>452</v>
      </c>
      <c r="B453" s="10" t="s">
        <v>417</v>
      </c>
      <c r="C453" s="14">
        <v>13</v>
      </c>
      <c r="D453" s="11">
        <v>1</v>
      </c>
      <c r="E453" s="11">
        <v>1</v>
      </c>
      <c r="F453" s="11">
        <v>1</v>
      </c>
      <c r="G453" s="11">
        <v>1</v>
      </c>
      <c r="H453" s="11">
        <v>1</v>
      </c>
      <c r="I453" s="11">
        <v>0</v>
      </c>
      <c r="J453" s="11">
        <v>0</v>
      </c>
      <c r="K453" s="11">
        <v>1</v>
      </c>
      <c r="L453" s="11">
        <v>1</v>
      </c>
      <c r="M453" s="11">
        <v>1</v>
      </c>
      <c r="N453" s="11">
        <v>0</v>
      </c>
      <c r="O453" s="11">
        <v>0</v>
      </c>
      <c r="P453" s="11">
        <v>0</v>
      </c>
      <c r="Q453" s="11">
        <v>1</v>
      </c>
      <c r="R453" s="11">
        <v>0</v>
      </c>
      <c r="S453" s="11">
        <v>0</v>
      </c>
      <c r="T453" s="11">
        <v>0</v>
      </c>
      <c r="U453" s="11">
        <v>1</v>
      </c>
      <c r="V453" s="11">
        <v>1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1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1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5">
        <f t="shared" si="73"/>
        <v>31.601787606441331</v>
      </c>
      <c r="BH453" s="3">
        <f t="shared" si="74"/>
        <v>8.0704178383169261</v>
      </c>
      <c r="BI453" s="3">
        <f t="shared" si="75"/>
        <v>46.929582161683072</v>
      </c>
      <c r="BJ453" s="3">
        <f t="shared" si="67"/>
        <v>-1.7604429686446943</v>
      </c>
      <c r="BK453" s="3">
        <f t="shared" si="68"/>
        <v>-0.45609683602320777</v>
      </c>
      <c r="BL453" s="3">
        <f t="shared" si="69"/>
        <v>0.94333424358242735</v>
      </c>
      <c r="BM453" s="3">
        <f t="shared" si="70"/>
        <v>-1.3826977463131966</v>
      </c>
      <c r="BN453" s="3">
        <f t="shared" si="71"/>
        <v>36.173022536868032</v>
      </c>
      <c r="BO453" s="2" t="str">
        <f t="shared" si="72"/>
        <v>NC</v>
      </c>
    </row>
    <row r="454" spans="1:67" x14ac:dyDescent="0.35">
      <c r="A454" s="15">
        <v>453</v>
      </c>
      <c r="B454" s="10" t="s">
        <v>418</v>
      </c>
      <c r="C454" s="14">
        <v>9</v>
      </c>
      <c r="D454" s="11">
        <v>1</v>
      </c>
      <c r="E454" s="11">
        <v>0</v>
      </c>
      <c r="F454" s="11">
        <v>0</v>
      </c>
      <c r="G454" s="11">
        <v>0</v>
      </c>
      <c r="H454" s="11">
        <v>1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1</v>
      </c>
      <c r="P454" s="11">
        <v>0</v>
      </c>
      <c r="Q454" s="11">
        <v>0</v>
      </c>
      <c r="R454" s="11">
        <v>1</v>
      </c>
      <c r="S454" s="11">
        <v>1</v>
      </c>
      <c r="T454" s="11">
        <v>0</v>
      </c>
      <c r="U454" s="11">
        <v>1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1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1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1</v>
      </c>
      <c r="AS454" s="11">
        <v>0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5">
        <f t="shared" si="73"/>
        <v>29.216560876710197</v>
      </c>
      <c r="BH454" s="3">
        <f t="shared" si="74"/>
        <v>7.4612821594185323</v>
      </c>
      <c r="BI454" s="3">
        <f t="shared" si="75"/>
        <v>47.538717840581469</v>
      </c>
      <c r="BJ454" s="3">
        <f t="shared" si="67"/>
        <v>-1.8518172207669334</v>
      </c>
      <c r="BK454" s="3">
        <f t="shared" si="68"/>
        <v>-0.45609683602320777</v>
      </c>
      <c r="BL454" s="3">
        <f t="shared" si="69"/>
        <v>0.94333424358242735</v>
      </c>
      <c r="BM454" s="3">
        <f t="shared" si="70"/>
        <v>-1.4795608176411645</v>
      </c>
      <c r="BN454" s="3">
        <f t="shared" si="71"/>
        <v>35.204391823588352</v>
      </c>
      <c r="BO454" s="2" t="str">
        <f t="shared" si="72"/>
        <v>NC</v>
      </c>
    </row>
    <row r="455" spans="1:67" x14ac:dyDescent="0.35">
      <c r="A455" s="1">
        <v>454</v>
      </c>
      <c r="B455" s="10" t="s">
        <v>419</v>
      </c>
      <c r="C455" s="14">
        <v>10</v>
      </c>
      <c r="D455" s="11">
        <v>1</v>
      </c>
      <c r="E455" s="11">
        <v>0</v>
      </c>
      <c r="F455" s="11">
        <v>1</v>
      </c>
      <c r="G455" s="11">
        <v>1</v>
      </c>
      <c r="H455" s="11">
        <v>0</v>
      </c>
      <c r="I455" s="11">
        <v>1</v>
      </c>
      <c r="J455" s="11">
        <v>0</v>
      </c>
      <c r="K455" s="11">
        <v>0</v>
      </c>
      <c r="L455" s="11">
        <v>0</v>
      </c>
      <c r="M455" s="11">
        <v>1</v>
      </c>
      <c r="N455" s="11">
        <v>0</v>
      </c>
      <c r="O455" s="11">
        <v>0</v>
      </c>
      <c r="P455" s="11">
        <v>0</v>
      </c>
      <c r="Q455" s="11">
        <v>0</v>
      </c>
      <c r="R455" s="11">
        <v>1</v>
      </c>
      <c r="S455" s="11">
        <v>0</v>
      </c>
      <c r="T455" s="11">
        <v>0</v>
      </c>
      <c r="U455" s="11">
        <v>1</v>
      </c>
      <c r="V455" s="11">
        <v>1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1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1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5">
        <f t="shared" si="73"/>
        <v>28.851125367495769</v>
      </c>
      <c r="BH455" s="3">
        <f t="shared" si="74"/>
        <v>7.3679577788788242</v>
      </c>
      <c r="BI455" s="3">
        <f t="shared" si="75"/>
        <v>47.632042221121175</v>
      </c>
      <c r="BJ455" s="3">
        <f t="shared" si="67"/>
        <v>-1.8663651220756339</v>
      </c>
      <c r="BK455" s="3">
        <f t="shared" si="68"/>
        <v>-0.45609683602320777</v>
      </c>
      <c r="BL455" s="3">
        <f t="shared" si="69"/>
        <v>0.94333424358242735</v>
      </c>
      <c r="BM455" s="3">
        <f t="shared" si="70"/>
        <v>-1.4949826062676994</v>
      </c>
      <c r="BN455" s="3">
        <f t="shared" si="71"/>
        <v>35.050173937323009</v>
      </c>
      <c r="BO455" s="2" t="str">
        <f t="shared" si="72"/>
        <v>NC</v>
      </c>
    </row>
    <row r="456" spans="1:67" x14ac:dyDescent="0.35">
      <c r="A456" s="15">
        <v>455</v>
      </c>
      <c r="B456" s="10" t="s">
        <v>420</v>
      </c>
      <c r="C456" s="14">
        <v>8</v>
      </c>
      <c r="D456" s="11">
        <v>0</v>
      </c>
      <c r="E456" s="11">
        <v>0</v>
      </c>
      <c r="F456" s="11">
        <v>1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1</v>
      </c>
      <c r="P456" s="11">
        <v>0</v>
      </c>
      <c r="Q456" s="11">
        <v>0</v>
      </c>
      <c r="R456" s="11">
        <v>0</v>
      </c>
      <c r="S456" s="11">
        <v>0</v>
      </c>
      <c r="T456" s="11">
        <v>1</v>
      </c>
      <c r="U456" s="11">
        <v>0</v>
      </c>
      <c r="V456" s="11">
        <v>1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1</v>
      </c>
      <c r="AC456" s="11">
        <v>0</v>
      </c>
      <c r="AD456" s="11">
        <v>0</v>
      </c>
      <c r="AE456" s="11">
        <v>0</v>
      </c>
      <c r="AF456" s="11">
        <v>0</v>
      </c>
      <c r="AG456" s="11">
        <v>1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1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1</v>
      </c>
      <c r="BE456" s="11">
        <v>0</v>
      </c>
      <c r="BF456" s="11">
        <v>0</v>
      </c>
      <c r="BG456" s="5">
        <f t="shared" si="73"/>
        <v>28.664506941830467</v>
      </c>
      <c r="BH456" s="3">
        <f t="shared" si="74"/>
        <v>7.3202994409960365</v>
      </c>
      <c r="BI456" s="3">
        <f t="shared" si="75"/>
        <v>47.679700559003962</v>
      </c>
      <c r="BJ456" s="3">
        <f t="shared" si="67"/>
        <v>-1.8738545081387037</v>
      </c>
      <c r="BK456" s="3">
        <f t="shared" si="68"/>
        <v>-0.45609683602320777</v>
      </c>
      <c r="BL456" s="3">
        <f t="shared" si="69"/>
        <v>0.94333424358242735</v>
      </c>
      <c r="BM456" s="3">
        <f t="shared" si="70"/>
        <v>-1.5029218771189599</v>
      </c>
      <c r="BN456" s="3">
        <f t="shared" si="71"/>
        <v>34.970781228810402</v>
      </c>
      <c r="BO456" s="2" t="str">
        <f t="shared" si="72"/>
        <v>NC</v>
      </c>
    </row>
    <row r="457" spans="1:67" x14ac:dyDescent="0.35">
      <c r="A457" s="15">
        <v>456</v>
      </c>
      <c r="B457" s="10" t="s">
        <v>421</v>
      </c>
      <c r="C457" s="14">
        <v>10</v>
      </c>
      <c r="D457" s="11">
        <v>1</v>
      </c>
      <c r="E457" s="11">
        <v>0</v>
      </c>
      <c r="F457" s="11">
        <v>1</v>
      </c>
      <c r="G457" s="11">
        <v>1</v>
      </c>
      <c r="H457" s="11">
        <v>0</v>
      </c>
      <c r="I457" s="11">
        <v>0</v>
      </c>
      <c r="J457" s="11">
        <v>0</v>
      </c>
      <c r="K457" s="11">
        <v>1</v>
      </c>
      <c r="L457" s="11">
        <v>0</v>
      </c>
      <c r="M457" s="11">
        <v>1</v>
      </c>
      <c r="N457" s="11">
        <v>0</v>
      </c>
      <c r="O457" s="11">
        <v>0</v>
      </c>
      <c r="P457" s="11">
        <v>0</v>
      </c>
      <c r="Q457" s="11">
        <v>1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1</v>
      </c>
      <c r="AJ457" s="11">
        <v>0</v>
      </c>
      <c r="AK457" s="11">
        <v>0</v>
      </c>
      <c r="AL457" s="11">
        <v>1</v>
      </c>
      <c r="AM457" s="11">
        <v>1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1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5">
        <f t="shared" si="73"/>
        <v>28.010507168337806</v>
      </c>
      <c r="BH457" s="3">
        <f t="shared" si="74"/>
        <v>7.153281944897981</v>
      </c>
      <c r="BI457" s="3">
        <f t="shared" si="75"/>
        <v>47.846718055102016</v>
      </c>
      <c r="BJ457" s="3">
        <f t="shared" si="67"/>
        <v>-1.9004312626925555</v>
      </c>
      <c r="BK457" s="3">
        <f t="shared" si="68"/>
        <v>-0.45609683602320777</v>
      </c>
      <c r="BL457" s="3">
        <f t="shared" si="69"/>
        <v>0.94333424358242735</v>
      </c>
      <c r="BM457" s="3">
        <f t="shared" si="70"/>
        <v>-1.531095087976782</v>
      </c>
      <c r="BN457" s="3">
        <f t="shared" si="71"/>
        <v>34.689049120232184</v>
      </c>
      <c r="BO457" s="2" t="str">
        <f t="shared" si="72"/>
        <v>NC</v>
      </c>
    </row>
    <row r="458" spans="1:67" x14ac:dyDescent="0.35">
      <c r="A458" s="1">
        <v>457</v>
      </c>
      <c r="B458" s="10" t="s">
        <v>422</v>
      </c>
      <c r="C458" s="14">
        <v>11</v>
      </c>
      <c r="D458" s="11">
        <v>1</v>
      </c>
      <c r="E458" s="11">
        <v>0</v>
      </c>
      <c r="F458" s="11">
        <v>1</v>
      </c>
      <c r="G458" s="11">
        <v>1</v>
      </c>
      <c r="H458" s="11">
        <v>1</v>
      </c>
      <c r="I458" s="11">
        <v>0</v>
      </c>
      <c r="J458" s="11">
        <v>0</v>
      </c>
      <c r="K458" s="11">
        <v>1</v>
      </c>
      <c r="L458" s="11">
        <v>1</v>
      </c>
      <c r="M458" s="11">
        <v>1</v>
      </c>
      <c r="N458" s="11">
        <v>0</v>
      </c>
      <c r="O458" s="11">
        <v>0</v>
      </c>
      <c r="P458" s="11">
        <v>0</v>
      </c>
      <c r="Q458" s="11">
        <v>1</v>
      </c>
      <c r="R458" s="11">
        <v>0</v>
      </c>
      <c r="S458" s="11">
        <v>0</v>
      </c>
      <c r="T458" s="11">
        <v>0</v>
      </c>
      <c r="U458" s="11">
        <v>1</v>
      </c>
      <c r="V458" s="11">
        <v>0</v>
      </c>
      <c r="W458" s="11">
        <v>0</v>
      </c>
      <c r="X458" s="11">
        <v>1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1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5">
        <f t="shared" si="73"/>
        <v>27.456780734954947</v>
      </c>
      <c r="BH458" s="3">
        <f t="shared" si="74"/>
        <v>7.0118721062782896</v>
      </c>
      <c r="BI458" s="3">
        <f t="shared" si="75"/>
        <v>47.98812789372171</v>
      </c>
      <c r="BJ458" s="3">
        <f t="shared" si="67"/>
        <v>-1.9233489171396576</v>
      </c>
      <c r="BK458" s="3">
        <f t="shared" si="68"/>
        <v>-0.45609683602320777</v>
      </c>
      <c r="BL458" s="3">
        <f t="shared" si="69"/>
        <v>0.94333424358242735</v>
      </c>
      <c r="BM458" s="3">
        <f t="shared" si="70"/>
        <v>-1.5553893978706639</v>
      </c>
      <c r="BN458" s="3">
        <f t="shared" si="71"/>
        <v>34.44610602129336</v>
      </c>
      <c r="BO458" s="2" t="str">
        <f t="shared" si="72"/>
        <v>NC</v>
      </c>
    </row>
    <row r="459" spans="1:67" x14ac:dyDescent="0.35">
      <c r="A459" s="15">
        <v>458</v>
      </c>
      <c r="B459" s="10" t="s">
        <v>423</v>
      </c>
      <c r="C459" s="14">
        <v>10</v>
      </c>
      <c r="D459" s="11">
        <v>1</v>
      </c>
      <c r="E459" s="11">
        <v>1</v>
      </c>
      <c r="F459" s="11">
        <v>1</v>
      </c>
      <c r="G459" s="11">
        <v>1</v>
      </c>
      <c r="H459" s="11">
        <v>0</v>
      </c>
      <c r="I459" s="11">
        <v>1</v>
      </c>
      <c r="J459" s="11">
        <v>0</v>
      </c>
      <c r="K459" s="11">
        <v>0</v>
      </c>
      <c r="L459" s="11">
        <v>0</v>
      </c>
      <c r="M459" s="11">
        <v>1</v>
      </c>
      <c r="N459" s="11">
        <v>0</v>
      </c>
      <c r="O459" s="11">
        <v>0</v>
      </c>
      <c r="P459" s="11">
        <v>0</v>
      </c>
      <c r="Q459" s="11">
        <v>0</v>
      </c>
      <c r="R459" s="11">
        <v>1</v>
      </c>
      <c r="S459" s="11">
        <v>1</v>
      </c>
      <c r="T459" s="11">
        <v>0</v>
      </c>
      <c r="U459" s="11">
        <v>1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1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5">
        <f t="shared" si="73"/>
        <v>27.179632220116002</v>
      </c>
      <c r="BH459" s="3">
        <f t="shared" si="74"/>
        <v>6.9410943279489601</v>
      </c>
      <c r="BI459" s="3">
        <f t="shared" si="75"/>
        <v>48.05890567205104</v>
      </c>
      <c r="BJ459" s="3">
        <f t="shared" si="67"/>
        <v>-1.9349680137823135</v>
      </c>
      <c r="BK459" s="3">
        <f t="shared" si="68"/>
        <v>-0.45609683602320777</v>
      </c>
      <c r="BL459" s="3">
        <f t="shared" si="69"/>
        <v>0.94333424358242735</v>
      </c>
      <c r="BM459" s="3">
        <f t="shared" si="70"/>
        <v>-1.5677064495643784</v>
      </c>
      <c r="BN459" s="3">
        <f t="shared" si="71"/>
        <v>34.322935504356217</v>
      </c>
      <c r="BO459" s="2" t="str">
        <f t="shared" si="72"/>
        <v>NC</v>
      </c>
    </row>
    <row r="460" spans="1:67" x14ac:dyDescent="0.35">
      <c r="A460" s="15">
        <v>459</v>
      </c>
      <c r="B460" s="10" t="s">
        <v>424</v>
      </c>
      <c r="C460" s="14">
        <v>9</v>
      </c>
      <c r="D460" s="11">
        <v>1</v>
      </c>
      <c r="E460" s="11">
        <v>0</v>
      </c>
      <c r="F460" s="11">
        <v>0</v>
      </c>
      <c r="G460" s="11">
        <v>0</v>
      </c>
      <c r="H460" s="11">
        <v>0</v>
      </c>
      <c r="I460" s="11">
        <v>1</v>
      </c>
      <c r="J460" s="11">
        <v>0</v>
      </c>
      <c r="K460" s="11">
        <v>1</v>
      </c>
      <c r="L460" s="11">
        <v>1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1</v>
      </c>
      <c r="T460" s="11">
        <v>1</v>
      </c>
      <c r="U460" s="11">
        <v>1</v>
      </c>
      <c r="V460" s="11">
        <v>0</v>
      </c>
      <c r="W460" s="11">
        <v>0</v>
      </c>
      <c r="X460" s="11">
        <v>1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1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5">
        <f t="shared" si="73"/>
        <v>26.919717341444965</v>
      </c>
      <c r="BH460" s="3">
        <f t="shared" si="74"/>
        <v>6.8747176501675051</v>
      </c>
      <c r="BI460" s="3">
        <f t="shared" si="75"/>
        <v>48.125282349832496</v>
      </c>
      <c r="BJ460" s="3">
        <f t="shared" si="67"/>
        <v>-1.9459570859575108</v>
      </c>
      <c r="BK460" s="3">
        <f t="shared" si="68"/>
        <v>-0.45609683602320777</v>
      </c>
      <c r="BL460" s="3">
        <f t="shared" si="69"/>
        <v>0.94333424358242735</v>
      </c>
      <c r="BM460" s="3">
        <f t="shared" si="70"/>
        <v>-1.579355631442336</v>
      </c>
      <c r="BN460" s="3">
        <f t="shared" si="71"/>
        <v>34.206443685576637</v>
      </c>
      <c r="BO460" s="2" t="str">
        <f t="shared" si="72"/>
        <v>NC</v>
      </c>
    </row>
    <row r="461" spans="1:67" x14ac:dyDescent="0.35">
      <c r="A461" s="1">
        <v>460</v>
      </c>
      <c r="B461" s="10" t="s">
        <v>425</v>
      </c>
      <c r="C461" s="14">
        <v>10</v>
      </c>
      <c r="D461" s="11">
        <v>1</v>
      </c>
      <c r="E461" s="11">
        <v>1</v>
      </c>
      <c r="F461" s="11">
        <v>1</v>
      </c>
      <c r="G461" s="11">
        <v>0</v>
      </c>
      <c r="H461" s="11">
        <v>1</v>
      </c>
      <c r="I461" s="11">
        <v>1</v>
      </c>
      <c r="J461" s="11">
        <v>0</v>
      </c>
      <c r="K461" s="11">
        <v>1</v>
      </c>
      <c r="L461" s="11">
        <v>1</v>
      </c>
      <c r="M461" s="11">
        <v>0</v>
      </c>
      <c r="N461" s="11">
        <v>0</v>
      </c>
      <c r="O461" s="11">
        <v>1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1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1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5">
        <f t="shared" si="73"/>
        <v>26.688985025161884</v>
      </c>
      <c r="BH461" s="3">
        <f t="shared" si="74"/>
        <v>6.8157935720616321</v>
      </c>
      <c r="BI461" s="3">
        <f t="shared" si="75"/>
        <v>48.184206427938371</v>
      </c>
      <c r="BJ461" s="3">
        <f t="shared" si="67"/>
        <v>-1.9557887966123702</v>
      </c>
      <c r="BK461" s="3">
        <f t="shared" si="68"/>
        <v>-0.45609683602320777</v>
      </c>
      <c r="BL461" s="3">
        <f t="shared" si="69"/>
        <v>0.94333424358242735</v>
      </c>
      <c r="BM461" s="3">
        <f t="shared" si="70"/>
        <v>-1.5897779295002568</v>
      </c>
      <c r="BN461" s="3">
        <f t="shared" si="71"/>
        <v>34.102220704997436</v>
      </c>
      <c r="BO461" s="2" t="str">
        <f t="shared" si="72"/>
        <v>NC</v>
      </c>
    </row>
    <row r="462" spans="1:67" x14ac:dyDescent="0.35">
      <c r="A462" s="15">
        <v>461</v>
      </c>
      <c r="B462" s="10" t="s">
        <v>426</v>
      </c>
      <c r="C462" s="14">
        <v>12</v>
      </c>
      <c r="D462" s="11">
        <v>1</v>
      </c>
      <c r="E462" s="11">
        <v>1</v>
      </c>
      <c r="F462" s="11">
        <v>1</v>
      </c>
      <c r="G462" s="11">
        <v>1</v>
      </c>
      <c r="H462" s="11">
        <v>1</v>
      </c>
      <c r="I462" s="11">
        <v>0</v>
      </c>
      <c r="J462" s="11">
        <v>1</v>
      </c>
      <c r="K462" s="11">
        <v>1</v>
      </c>
      <c r="L462" s="11">
        <v>0</v>
      </c>
      <c r="M462" s="11">
        <v>1</v>
      </c>
      <c r="N462" s="11">
        <v>1</v>
      </c>
      <c r="O462" s="11">
        <v>0</v>
      </c>
      <c r="P462" s="11">
        <v>0</v>
      </c>
      <c r="Q462" s="11">
        <v>1</v>
      </c>
      <c r="R462" s="11">
        <v>0</v>
      </c>
      <c r="S462" s="11">
        <v>0</v>
      </c>
      <c r="T462" s="11">
        <v>1</v>
      </c>
      <c r="U462" s="11">
        <v>0</v>
      </c>
      <c r="V462" s="11">
        <v>0</v>
      </c>
      <c r="W462" s="11">
        <v>1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5">
        <f t="shared" si="73"/>
        <v>26.607740435759929</v>
      </c>
      <c r="BH462" s="3">
        <f t="shared" si="74"/>
        <v>6.7950454488306979</v>
      </c>
      <c r="BI462" s="3">
        <f t="shared" si="75"/>
        <v>48.204954551169301</v>
      </c>
      <c r="BJ462" s="3">
        <f t="shared" si="67"/>
        <v>-1.959268071141526</v>
      </c>
      <c r="BK462" s="3">
        <f t="shared" si="68"/>
        <v>-0.45609683602320777</v>
      </c>
      <c r="BL462" s="3">
        <f t="shared" si="69"/>
        <v>0.94333424358242735</v>
      </c>
      <c r="BM462" s="3">
        <f t="shared" si="70"/>
        <v>-1.5934662028273683</v>
      </c>
      <c r="BN462" s="3">
        <f t="shared" si="71"/>
        <v>34.065337971726315</v>
      </c>
      <c r="BO462" s="2" t="str">
        <f t="shared" si="72"/>
        <v>NC</v>
      </c>
    </row>
    <row r="463" spans="1:67" x14ac:dyDescent="0.35">
      <c r="A463" s="15">
        <v>462</v>
      </c>
      <c r="B463" s="10" t="s">
        <v>427</v>
      </c>
      <c r="C463" s="14">
        <v>10</v>
      </c>
      <c r="D463" s="11">
        <v>1</v>
      </c>
      <c r="E463" s="11">
        <v>1</v>
      </c>
      <c r="F463" s="11">
        <v>1</v>
      </c>
      <c r="G463" s="11">
        <v>1</v>
      </c>
      <c r="H463" s="11">
        <v>1</v>
      </c>
      <c r="I463" s="11">
        <v>0</v>
      </c>
      <c r="J463" s="11">
        <v>0</v>
      </c>
      <c r="K463" s="11">
        <v>1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1</v>
      </c>
      <c r="S463" s="11">
        <v>0</v>
      </c>
      <c r="T463" s="11">
        <v>0</v>
      </c>
      <c r="U463" s="11">
        <v>1</v>
      </c>
      <c r="V463" s="11">
        <v>0</v>
      </c>
      <c r="W463" s="11">
        <v>0</v>
      </c>
      <c r="X463" s="11">
        <v>1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1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5">
        <f t="shared" si="73"/>
        <v>26.53932261013669</v>
      </c>
      <c r="BH463" s="3">
        <f t="shared" si="74"/>
        <v>6.7775730055865022</v>
      </c>
      <c r="BI463" s="3">
        <f t="shared" si="75"/>
        <v>48.222426994413496</v>
      </c>
      <c r="BJ463" s="3">
        <f t="shared" si="67"/>
        <v>-1.9622051290929239</v>
      </c>
      <c r="BK463" s="3">
        <f t="shared" si="68"/>
        <v>-0.45609683602320777</v>
      </c>
      <c r="BL463" s="3">
        <f t="shared" si="69"/>
        <v>0.94333424358242735</v>
      </c>
      <c r="BM463" s="3">
        <f t="shared" si="70"/>
        <v>-1.5965796888174919</v>
      </c>
      <c r="BN463" s="3">
        <f t="shared" si="71"/>
        <v>34.034203111825079</v>
      </c>
      <c r="BO463" s="2" t="str">
        <f t="shared" si="72"/>
        <v>NC</v>
      </c>
    </row>
    <row r="464" spans="1:67" x14ac:dyDescent="0.35">
      <c r="A464" s="1">
        <v>463</v>
      </c>
      <c r="B464" s="10" t="s">
        <v>428</v>
      </c>
      <c r="C464" s="14">
        <v>9</v>
      </c>
      <c r="D464" s="11">
        <v>0</v>
      </c>
      <c r="E464" s="11">
        <v>0</v>
      </c>
      <c r="F464" s="11">
        <v>1</v>
      </c>
      <c r="G464" s="11">
        <v>0</v>
      </c>
      <c r="H464" s="11">
        <v>1</v>
      </c>
      <c r="I464" s="11">
        <v>1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1</v>
      </c>
      <c r="R464" s="11">
        <v>0</v>
      </c>
      <c r="S464" s="11">
        <v>0</v>
      </c>
      <c r="T464" s="11">
        <v>1</v>
      </c>
      <c r="U464" s="11">
        <v>0</v>
      </c>
      <c r="V464" s="11">
        <v>0</v>
      </c>
      <c r="W464" s="11">
        <v>0</v>
      </c>
      <c r="X464" s="11">
        <v>1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1</v>
      </c>
      <c r="AG464" s="11">
        <v>0</v>
      </c>
      <c r="AH464" s="11">
        <v>0</v>
      </c>
      <c r="AI464" s="11">
        <v>1</v>
      </c>
      <c r="AJ464" s="11">
        <v>0</v>
      </c>
      <c r="AK464" s="11">
        <v>0</v>
      </c>
      <c r="AL464" s="11">
        <v>0</v>
      </c>
      <c r="AM464" s="11">
        <v>1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0</v>
      </c>
      <c r="AT464" s="11">
        <v>0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0</v>
      </c>
      <c r="BB464" s="11">
        <v>0</v>
      </c>
      <c r="BC464" s="11">
        <v>0</v>
      </c>
      <c r="BD464" s="11">
        <v>0</v>
      </c>
      <c r="BE464" s="11">
        <v>0</v>
      </c>
      <c r="BF464" s="11">
        <v>0</v>
      </c>
      <c r="BG464" s="5">
        <f t="shared" si="73"/>
        <v>26.255416709936998</v>
      </c>
      <c r="BH464" s="3">
        <f t="shared" si="74"/>
        <v>6.7050695361654249</v>
      </c>
      <c r="BI464" s="3">
        <f t="shared" si="75"/>
        <v>48.294930463834575</v>
      </c>
      <c r="BJ464" s="3">
        <f t="shared" si="67"/>
        <v>-1.9744627083363899</v>
      </c>
      <c r="BK464" s="3">
        <f t="shared" si="68"/>
        <v>-0.45609683602320777</v>
      </c>
      <c r="BL464" s="3">
        <f t="shared" si="69"/>
        <v>0.94333424358242735</v>
      </c>
      <c r="BM464" s="3">
        <f t="shared" si="70"/>
        <v>-1.6095735765374124</v>
      </c>
      <c r="BN464" s="3">
        <f t="shared" si="71"/>
        <v>33.904264234625877</v>
      </c>
      <c r="BO464" s="2" t="str">
        <f t="shared" si="72"/>
        <v>NC</v>
      </c>
    </row>
    <row r="465" spans="1:67" x14ac:dyDescent="0.35">
      <c r="A465" s="15">
        <v>464</v>
      </c>
      <c r="B465" s="10" t="s">
        <v>429</v>
      </c>
      <c r="C465" s="14">
        <v>10</v>
      </c>
      <c r="D465" s="11">
        <v>1</v>
      </c>
      <c r="E465" s="11">
        <v>0</v>
      </c>
      <c r="F465" s="11">
        <v>0</v>
      </c>
      <c r="G465" s="11">
        <v>0</v>
      </c>
      <c r="H465" s="11">
        <v>1</v>
      </c>
      <c r="I465" s="11">
        <v>1</v>
      </c>
      <c r="J465" s="11">
        <v>0</v>
      </c>
      <c r="K465" s="11">
        <v>0</v>
      </c>
      <c r="L465" s="11">
        <v>0</v>
      </c>
      <c r="M465" s="11">
        <v>1</v>
      </c>
      <c r="N465" s="11">
        <v>0</v>
      </c>
      <c r="O465" s="11">
        <v>1</v>
      </c>
      <c r="P465" s="11">
        <v>0</v>
      </c>
      <c r="Q465" s="11">
        <v>1</v>
      </c>
      <c r="R465" s="11">
        <v>0</v>
      </c>
      <c r="S465" s="11">
        <v>0</v>
      </c>
      <c r="T465" s="11">
        <v>1</v>
      </c>
      <c r="U465" s="11">
        <v>0</v>
      </c>
      <c r="V465" s="11">
        <v>0</v>
      </c>
      <c r="W465" s="11">
        <v>1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1</v>
      </c>
      <c r="AF465" s="11">
        <v>0</v>
      </c>
      <c r="AG465" s="11">
        <v>1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5">
        <f t="shared" si="73"/>
        <v>25.923543315214566</v>
      </c>
      <c r="BH465" s="3">
        <f t="shared" si="74"/>
        <v>6.6203161988483679</v>
      </c>
      <c r="BI465" s="3">
        <f t="shared" si="75"/>
        <v>48.379683801151629</v>
      </c>
      <c r="BJ465" s="3">
        <f t="shared" si="67"/>
        <v>-1.9889368364410136</v>
      </c>
      <c r="BK465" s="3">
        <f t="shared" si="68"/>
        <v>-0.45609683602320777</v>
      </c>
      <c r="BL465" s="3">
        <f t="shared" si="69"/>
        <v>0.94333424358242735</v>
      </c>
      <c r="BM465" s="3">
        <f t="shared" si="70"/>
        <v>-1.6249171604294339</v>
      </c>
      <c r="BN465" s="3">
        <f t="shared" si="71"/>
        <v>33.750828395705661</v>
      </c>
      <c r="BO465" s="2" t="str">
        <f t="shared" si="72"/>
        <v>NC</v>
      </c>
    </row>
    <row r="466" spans="1:67" x14ac:dyDescent="0.35">
      <c r="A466" s="15">
        <v>465</v>
      </c>
      <c r="B466" s="10" t="s">
        <v>430</v>
      </c>
      <c r="C466" s="14">
        <v>8</v>
      </c>
      <c r="D466" s="11">
        <v>0</v>
      </c>
      <c r="E466" s="11">
        <v>1</v>
      </c>
      <c r="F466" s="11">
        <v>0</v>
      </c>
      <c r="G466" s="11">
        <v>1</v>
      </c>
      <c r="H466" s="11">
        <v>0</v>
      </c>
      <c r="I466" s="11">
        <v>1</v>
      </c>
      <c r="J466" s="11">
        <v>1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1</v>
      </c>
      <c r="S466" s="11">
        <v>0</v>
      </c>
      <c r="T466" s="11">
        <v>0</v>
      </c>
      <c r="U466" s="11">
        <v>1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1</v>
      </c>
      <c r="AE466" s="11">
        <v>0</v>
      </c>
      <c r="AF466" s="11">
        <v>0</v>
      </c>
      <c r="AG466" s="11">
        <v>1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0</v>
      </c>
      <c r="AU466" s="11">
        <v>0</v>
      </c>
      <c r="AV466" s="11">
        <v>0</v>
      </c>
      <c r="AW466" s="11">
        <v>0</v>
      </c>
      <c r="AX466" s="11">
        <v>0</v>
      </c>
      <c r="AY466" s="11">
        <v>0</v>
      </c>
      <c r="AZ466" s="11">
        <v>0</v>
      </c>
      <c r="BA466" s="11">
        <v>0</v>
      </c>
      <c r="BB466" s="11">
        <v>0</v>
      </c>
      <c r="BC466" s="11">
        <v>0</v>
      </c>
      <c r="BD466" s="11">
        <v>0</v>
      </c>
      <c r="BE466" s="11">
        <v>0</v>
      </c>
      <c r="BF466" s="11">
        <v>0</v>
      </c>
      <c r="BG466" s="5">
        <f t="shared" si="73"/>
        <v>23.822979604693142</v>
      </c>
      <c r="BH466" s="3">
        <f t="shared" si="74"/>
        <v>6.0838773413054508</v>
      </c>
      <c r="BI466" s="3">
        <f t="shared" si="75"/>
        <v>48.916122658694547</v>
      </c>
      <c r="BJ466" s="3">
        <f t="shared" si="67"/>
        <v>-2.0844648355311328</v>
      </c>
      <c r="BK466" s="3">
        <f t="shared" si="68"/>
        <v>-0.45609683602320777</v>
      </c>
      <c r="BL466" s="3">
        <f t="shared" si="69"/>
        <v>0.94333424358242735</v>
      </c>
      <c r="BM466" s="3">
        <f t="shared" si="70"/>
        <v>-1.7261834928455455</v>
      </c>
      <c r="BN466" s="3">
        <f t="shared" si="71"/>
        <v>32.738165071544543</v>
      </c>
      <c r="BO466" s="2" t="str">
        <f t="shared" si="72"/>
        <v>NC</v>
      </c>
    </row>
    <row r="467" spans="1:67" x14ac:dyDescent="0.35">
      <c r="A467" s="1">
        <v>466</v>
      </c>
      <c r="B467" s="10" t="s">
        <v>431</v>
      </c>
      <c r="C467" s="14">
        <v>8</v>
      </c>
      <c r="D467" s="11">
        <v>0</v>
      </c>
      <c r="E467" s="11">
        <v>1</v>
      </c>
      <c r="F467" s="11">
        <v>0</v>
      </c>
      <c r="G467" s="11">
        <v>1</v>
      </c>
      <c r="H467" s="11">
        <v>0</v>
      </c>
      <c r="I467" s="11">
        <v>1</v>
      </c>
      <c r="J467" s="11">
        <v>1</v>
      </c>
      <c r="K467" s="11">
        <v>0</v>
      </c>
      <c r="L467" s="11">
        <v>1</v>
      </c>
      <c r="M467" s="11">
        <v>0</v>
      </c>
      <c r="N467" s="11">
        <v>1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1</v>
      </c>
      <c r="AB467" s="11">
        <v>0</v>
      </c>
      <c r="AC467" s="11">
        <v>0</v>
      </c>
      <c r="AD467" s="11">
        <v>1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0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5">
        <f t="shared" si="73"/>
        <v>23.544123933042613</v>
      </c>
      <c r="BH467" s="3">
        <f t="shared" si="74"/>
        <v>6.0126635917913083</v>
      </c>
      <c r="BI467" s="3">
        <f t="shared" si="75"/>
        <v>48.987336408208691</v>
      </c>
      <c r="BJ467" s="3">
        <f t="shared" si="67"/>
        <v>-2.097693980384614</v>
      </c>
      <c r="BK467" s="3">
        <f t="shared" si="68"/>
        <v>-0.45609683602320777</v>
      </c>
      <c r="BL467" s="3">
        <f t="shared" si="69"/>
        <v>0.94333424358242735</v>
      </c>
      <c r="BM467" s="3">
        <f t="shared" si="70"/>
        <v>-1.7402073077801563</v>
      </c>
      <c r="BN467" s="3">
        <f t="shared" si="71"/>
        <v>32.59792692219844</v>
      </c>
      <c r="BO467" s="2" t="str">
        <f t="shared" si="72"/>
        <v>NC</v>
      </c>
    </row>
    <row r="468" spans="1:67" x14ac:dyDescent="0.35">
      <c r="A468" s="15">
        <v>467</v>
      </c>
      <c r="B468" s="10" t="s">
        <v>432</v>
      </c>
      <c r="C468" s="14">
        <v>9</v>
      </c>
      <c r="D468" s="11">
        <v>0</v>
      </c>
      <c r="E468" s="11">
        <v>1</v>
      </c>
      <c r="F468" s="11">
        <v>1</v>
      </c>
      <c r="G468" s="11">
        <v>1</v>
      </c>
      <c r="H468" s="11">
        <v>1</v>
      </c>
      <c r="I468" s="11">
        <v>0</v>
      </c>
      <c r="J468" s="11">
        <v>1</v>
      </c>
      <c r="K468" s="11">
        <v>0</v>
      </c>
      <c r="L468" s="11">
        <v>0</v>
      </c>
      <c r="M468" s="11">
        <v>0</v>
      </c>
      <c r="N468" s="11">
        <v>1</v>
      </c>
      <c r="O468" s="11">
        <v>0</v>
      </c>
      <c r="P468" s="11">
        <v>0</v>
      </c>
      <c r="Q468" s="11">
        <v>0</v>
      </c>
      <c r="R468" s="11">
        <v>1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1</v>
      </c>
      <c r="AG468" s="11">
        <v>0</v>
      </c>
      <c r="AH468" s="11">
        <v>1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5">
        <f t="shared" si="73"/>
        <v>23.25080839864108</v>
      </c>
      <c r="BH468" s="3">
        <f t="shared" si="74"/>
        <v>5.9377571038872157</v>
      </c>
      <c r="BI468" s="3">
        <f t="shared" si="75"/>
        <v>49.062242896112785</v>
      </c>
      <c r="BJ468" s="3">
        <f t="shared" si="67"/>
        <v>-2.1117582850643015</v>
      </c>
      <c r="BK468" s="3">
        <f t="shared" si="68"/>
        <v>-0.45609683602320777</v>
      </c>
      <c r="BL468" s="3">
        <f t="shared" si="69"/>
        <v>0.94333424358242735</v>
      </c>
      <c r="BM468" s="3">
        <f t="shared" si="70"/>
        <v>-1.7551164502981642</v>
      </c>
      <c r="BN468" s="3">
        <f t="shared" si="71"/>
        <v>32.448835497018358</v>
      </c>
      <c r="BO468" s="2" t="str">
        <f t="shared" si="72"/>
        <v>NC</v>
      </c>
    </row>
    <row r="469" spans="1:67" x14ac:dyDescent="0.35">
      <c r="A469" s="15">
        <v>468</v>
      </c>
      <c r="B469" s="10" t="s">
        <v>433</v>
      </c>
      <c r="C469" s="14">
        <v>8</v>
      </c>
      <c r="D469" s="11">
        <v>0</v>
      </c>
      <c r="E469" s="11">
        <v>1</v>
      </c>
      <c r="F469" s="11">
        <v>0</v>
      </c>
      <c r="G469" s="11">
        <v>1</v>
      </c>
      <c r="H469" s="11">
        <v>0</v>
      </c>
      <c r="I469" s="11">
        <v>1</v>
      </c>
      <c r="J469" s="11">
        <v>1</v>
      </c>
      <c r="K469" s="11">
        <v>0</v>
      </c>
      <c r="L469" s="11">
        <v>1</v>
      </c>
      <c r="M469" s="11">
        <v>0</v>
      </c>
      <c r="N469" s="11">
        <v>1</v>
      </c>
      <c r="O469" s="11">
        <v>0</v>
      </c>
      <c r="P469" s="11">
        <v>0</v>
      </c>
      <c r="Q469" s="11">
        <v>0</v>
      </c>
      <c r="R469" s="11">
        <v>0</v>
      </c>
      <c r="S469" s="11">
        <v>1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1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5">
        <f t="shared" si="73"/>
        <v>22.338962315092751</v>
      </c>
      <c r="BH469" s="3">
        <f t="shared" si="74"/>
        <v>5.7048911980051091</v>
      </c>
      <c r="BI469" s="3">
        <f t="shared" si="75"/>
        <v>49.295108801994893</v>
      </c>
      <c r="BJ469" s="3">
        <f t="shared" si="67"/>
        <v>-2.1565009513932898</v>
      </c>
      <c r="BK469" s="3">
        <f t="shared" si="68"/>
        <v>-0.45609683602320777</v>
      </c>
      <c r="BL469" s="3">
        <f t="shared" si="69"/>
        <v>0.94333424358242735</v>
      </c>
      <c r="BM469" s="3">
        <f t="shared" si="70"/>
        <v>-1.8025467928658978</v>
      </c>
      <c r="BN469" s="3">
        <f t="shared" si="71"/>
        <v>31.974532071341024</v>
      </c>
      <c r="BO469" s="2" t="str">
        <f t="shared" si="72"/>
        <v>NC</v>
      </c>
    </row>
    <row r="470" spans="1:67" x14ac:dyDescent="0.35">
      <c r="A470" s="1">
        <v>469</v>
      </c>
      <c r="B470" s="10" t="s">
        <v>434</v>
      </c>
      <c r="C470" s="14">
        <v>9</v>
      </c>
      <c r="D470" s="11">
        <v>0</v>
      </c>
      <c r="E470" s="11">
        <v>0</v>
      </c>
      <c r="F470" s="11">
        <v>1</v>
      </c>
      <c r="G470" s="11">
        <v>1</v>
      </c>
      <c r="H470" s="11">
        <v>1</v>
      </c>
      <c r="I470" s="11">
        <v>0</v>
      </c>
      <c r="J470" s="11">
        <v>0</v>
      </c>
      <c r="K470" s="11">
        <v>0</v>
      </c>
      <c r="L470" s="11">
        <v>1</v>
      </c>
      <c r="M470" s="11">
        <v>1</v>
      </c>
      <c r="N470" s="11">
        <v>0</v>
      </c>
      <c r="O470" s="11">
        <v>0</v>
      </c>
      <c r="P470" s="11">
        <v>0</v>
      </c>
      <c r="Q470" s="11">
        <v>1</v>
      </c>
      <c r="R470" s="11">
        <v>0</v>
      </c>
      <c r="S470" s="11">
        <v>0</v>
      </c>
      <c r="T470" s="11">
        <v>0</v>
      </c>
      <c r="U470" s="11">
        <v>0</v>
      </c>
      <c r="V470" s="11">
        <v>1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1</v>
      </c>
      <c r="AF470" s="11">
        <v>0</v>
      </c>
      <c r="AG470" s="11">
        <v>1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5">
        <f t="shared" si="73"/>
        <v>20.956866009617812</v>
      </c>
      <c r="BH470" s="3">
        <f t="shared" si="74"/>
        <v>5.3519334850780291</v>
      </c>
      <c r="BI470" s="3">
        <f t="shared" si="75"/>
        <v>49.648066514921972</v>
      </c>
      <c r="BJ470" s="3">
        <f t="shared" si="67"/>
        <v>-2.2275015527362636</v>
      </c>
      <c r="BK470" s="3">
        <f t="shared" si="68"/>
        <v>-0.45609683602320777</v>
      </c>
      <c r="BL470" s="3">
        <f t="shared" si="69"/>
        <v>0.94333424358242735</v>
      </c>
      <c r="BM470" s="3">
        <f t="shared" si="70"/>
        <v>-1.8778123753738964</v>
      </c>
      <c r="BN470" s="3">
        <f t="shared" si="71"/>
        <v>31.221876246261036</v>
      </c>
      <c r="BO470" s="2" t="str">
        <f t="shared" si="72"/>
        <v>NC</v>
      </c>
    </row>
    <row r="471" spans="1:67" x14ac:dyDescent="0.35">
      <c r="A471" s="15">
        <v>470</v>
      </c>
      <c r="B471" s="10" t="s">
        <v>435</v>
      </c>
      <c r="C471" s="14">
        <v>9</v>
      </c>
      <c r="D471" s="11">
        <v>1</v>
      </c>
      <c r="E471" s="11">
        <v>1</v>
      </c>
      <c r="F471" s="11">
        <v>0</v>
      </c>
      <c r="G471" s="11">
        <v>1</v>
      </c>
      <c r="H471" s="11">
        <v>1</v>
      </c>
      <c r="I471" s="11">
        <v>0</v>
      </c>
      <c r="J471" s="11">
        <v>0</v>
      </c>
      <c r="K471" s="11">
        <v>1</v>
      </c>
      <c r="L471" s="11">
        <v>0</v>
      </c>
      <c r="M471" s="11">
        <v>1</v>
      </c>
      <c r="N471" s="11">
        <v>0</v>
      </c>
      <c r="O471" s="11">
        <v>0</v>
      </c>
      <c r="P471" s="11">
        <v>0</v>
      </c>
      <c r="Q471" s="11">
        <v>1</v>
      </c>
      <c r="R471" s="11">
        <v>0</v>
      </c>
      <c r="S471" s="11">
        <v>0</v>
      </c>
      <c r="T471" s="11">
        <v>0</v>
      </c>
      <c r="U471" s="11">
        <v>0</v>
      </c>
      <c r="V471" s="11">
        <v>1</v>
      </c>
      <c r="W471" s="11">
        <v>0</v>
      </c>
      <c r="X471" s="11">
        <v>0</v>
      </c>
      <c r="Y471" s="11">
        <v>0</v>
      </c>
      <c r="Z471" s="11">
        <v>0</v>
      </c>
      <c r="AA471" s="11">
        <v>1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5">
        <f t="shared" si="73"/>
        <v>20.524684334062798</v>
      </c>
      <c r="BH471" s="3">
        <f t="shared" si="74"/>
        <v>5.2415635671724381</v>
      </c>
      <c r="BI471" s="3">
        <f t="shared" si="75"/>
        <v>49.758436432827565</v>
      </c>
      <c r="BJ471" s="3">
        <f t="shared" si="67"/>
        <v>-2.2505601812623048</v>
      </c>
      <c r="BK471" s="3">
        <f t="shared" si="68"/>
        <v>-0.45609683602320777</v>
      </c>
      <c r="BL471" s="3">
        <f t="shared" si="69"/>
        <v>0.94333424358242735</v>
      </c>
      <c r="BM471" s="3">
        <f t="shared" si="70"/>
        <v>-1.9022561276100851</v>
      </c>
      <c r="BN471" s="3">
        <f t="shared" si="71"/>
        <v>30.977438723899148</v>
      </c>
      <c r="BO471" s="2" t="str">
        <f t="shared" si="72"/>
        <v>NC</v>
      </c>
    </row>
    <row r="472" spans="1:67" x14ac:dyDescent="0.35">
      <c r="A472" s="15">
        <v>471</v>
      </c>
      <c r="B472" s="10" t="s">
        <v>436</v>
      </c>
      <c r="C472" s="14">
        <v>6</v>
      </c>
      <c r="D472" s="11">
        <v>0</v>
      </c>
      <c r="E472" s="11">
        <v>0</v>
      </c>
      <c r="F472" s="11">
        <v>1</v>
      </c>
      <c r="G472" s="11">
        <v>1</v>
      </c>
      <c r="H472" s="11">
        <v>1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1</v>
      </c>
      <c r="T472" s="11">
        <v>0</v>
      </c>
      <c r="U472" s="11">
        <v>0</v>
      </c>
      <c r="V472" s="11">
        <v>0</v>
      </c>
      <c r="W472" s="11">
        <v>0</v>
      </c>
      <c r="X472" s="11">
        <v>1</v>
      </c>
      <c r="Y472" s="11">
        <v>0</v>
      </c>
      <c r="Z472" s="11">
        <v>1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5">
        <f t="shared" si="73"/>
        <v>14.910661183348603</v>
      </c>
      <c r="BH472" s="3">
        <f t="shared" si="74"/>
        <v>3.80786262770365</v>
      </c>
      <c r="BI472" s="3">
        <f t="shared" si="75"/>
        <v>51.192137372296351</v>
      </c>
      <c r="BJ472" s="3">
        <f t="shared" si="67"/>
        <v>-2.5985179116847563</v>
      </c>
      <c r="BK472" s="3">
        <f t="shared" si="68"/>
        <v>-0.45609683602320777</v>
      </c>
      <c r="BL472" s="3">
        <f t="shared" si="69"/>
        <v>0.94333424358242735</v>
      </c>
      <c r="BM472" s="3">
        <f>(BJ472-BK472)/BL472</f>
        <v>-2.2711155565872838</v>
      </c>
      <c r="BN472" s="3">
        <f t="shared" si="71"/>
        <v>27.288844434127164</v>
      </c>
      <c r="BO472" s="2" t="str">
        <f t="shared" si="72"/>
        <v>NC</v>
      </c>
    </row>
    <row r="473" spans="1:67" x14ac:dyDescent="0.35">
      <c r="A473" s="1"/>
      <c r="B473" s="7"/>
      <c r="C473" s="2" t="s">
        <v>6</v>
      </c>
      <c r="D473" s="5">
        <f>SUM(D2:D472)</f>
        <v>376</v>
      </c>
      <c r="E473" s="5">
        <f t="shared" ref="E473:BF473" si="76">SUM(E2:E472)</f>
        <v>370</v>
      </c>
      <c r="F473" s="5">
        <f t="shared" si="76"/>
        <v>403</v>
      </c>
      <c r="G473" s="5">
        <f t="shared" si="76"/>
        <v>429</v>
      </c>
      <c r="H473" s="5">
        <f t="shared" si="76"/>
        <v>444</v>
      </c>
      <c r="I473" s="5">
        <f t="shared" si="76"/>
        <v>321</v>
      </c>
      <c r="J473" s="5">
        <f t="shared" si="76"/>
        <v>394</v>
      </c>
      <c r="K473" s="5">
        <f t="shared" si="76"/>
        <v>392</v>
      </c>
      <c r="L473" s="5">
        <f t="shared" si="76"/>
        <v>333</v>
      </c>
      <c r="M473" s="5">
        <f t="shared" si="76"/>
        <v>415</v>
      </c>
      <c r="N473" s="5">
        <f t="shared" si="76"/>
        <v>320</v>
      </c>
      <c r="O473" s="5">
        <f t="shared" si="76"/>
        <v>340</v>
      </c>
      <c r="P473" s="5">
        <f t="shared" si="76"/>
        <v>238</v>
      </c>
      <c r="Q473" s="5">
        <f t="shared" si="76"/>
        <v>427</v>
      </c>
      <c r="R473" s="5">
        <f t="shared" si="76"/>
        <v>233</v>
      </c>
      <c r="S473" s="5">
        <f t="shared" si="76"/>
        <v>329</v>
      </c>
      <c r="T473" s="5">
        <f t="shared" si="76"/>
        <v>344</v>
      </c>
      <c r="U473" s="5">
        <f t="shared" si="76"/>
        <v>306</v>
      </c>
      <c r="V473" s="5">
        <f t="shared" si="76"/>
        <v>285</v>
      </c>
      <c r="W473" s="5">
        <f t="shared" si="76"/>
        <v>254</v>
      </c>
      <c r="X473" s="5">
        <f t="shared" si="76"/>
        <v>221</v>
      </c>
      <c r="Y473" s="5">
        <f t="shared" si="76"/>
        <v>266</v>
      </c>
      <c r="Z473" s="5">
        <f t="shared" si="76"/>
        <v>267</v>
      </c>
      <c r="AA473" s="5">
        <f t="shared" si="76"/>
        <v>186</v>
      </c>
      <c r="AB473" s="5">
        <f t="shared" si="76"/>
        <v>99</v>
      </c>
      <c r="AC473" s="5">
        <f t="shared" si="76"/>
        <v>317</v>
      </c>
      <c r="AD473" s="5">
        <f t="shared" si="76"/>
        <v>193</v>
      </c>
      <c r="AE473" s="5">
        <f t="shared" si="76"/>
        <v>285</v>
      </c>
      <c r="AF473" s="5">
        <f t="shared" si="76"/>
        <v>274</v>
      </c>
      <c r="AG473" s="5">
        <f t="shared" si="76"/>
        <v>274</v>
      </c>
      <c r="AH473" s="5">
        <f t="shared" si="76"/>
        <v>242</v>
      </c>
      <c r="AI473" s="5">
        <f t="shared" si="76"/>
        <v>182</v>
      </c>
      <c r="AJ473" s="5">
        <f t="shared" si="76"/>
        <v>217</v>
      </c>
      <c r="AK473" s="5">
        <f t="shared" si="76"/>
        <v>218</v>
      </c>
      <c r="AL473" s="5">
        <f t="shared" si="76"/>
        <v>213</v>
      </c>
      <c r="AM473" s="5">
        <f t="shared" si="76"/>
        <v>188</v>
      </c>
      <c r="AN473" s="5">
        <f t="shared" si="76"/>
        <v>74</v>
      </c>
      <c r="AO473" s="5">
        <f t="shared" si="76"/>
        <v>63</v>
      </c>
      <c r="AP473" s="5">
        <f t="shared" si="76"/>
        <v>63</v>
      </c>
      <c r="AQ473" s="5">
        <f t="shared" si="76"/>
        <v>133</v>
      </c>
      <c r="AR473" s="5">
        <f t="shared" si="76"/>
        <v>130</v>
      </c>
      <c r="AS473" s="5">
        <f t="shared" si="76"/>
        <v>110</v>
      </c>
      <c r="AT473" s="5">
        <f t="shared" si="76"/>
        <v>200</v>
      </c>
      <c r="AU473" s="5">
        <f t="shared" si="76"/>
        <v>64</v>
      </c>
      <c r="AV473" s="5">
        <f t="shared" si="76"/>
        <v>68</v>
      </c>
      <c r="AW473" s="5">
        <f t="shared" si="76"/>
        <v>78</v>
      </c>
      <c r="AX473" s="5">
        <f t="shared" si="76"/>
        <v>35</v>
      </c>
      <c r="AY473" s="5">
        <f t="shared" si="76"/>
        <v>58</v>
      </c>
      <c r="AZ473" s="5">
        <f t="shared" si="76"/>
        <v>85</v>
      </c>
      <c r="BA473" s="5">
        <f t="shared" si="76"/>
        <v>173</v>
      </c>
      <c r="BB473" s="5">
        <f t="shared" si="76"/>
        <v>150</v>
      </c>
      <c r="BC473" s="5">
        <f t="shared" si="76"/>
        <v>144</v>
      </c>
      <c r="BD473" s="5">
        <f t="shared" si="76"/>
        <v>125</v>
      </c>
      <c r="BE473" s="5">
        <f t="shared" si="76"/>
        <v>23</v>
      </c>
      <c r="BF473" s="5">
        <f t="shared" si="76"/>
        <v>37</v>
      </c>
      <c r="BG473" s="2"/>
      <c r="BH473" s="3"/>
      <c r="BI473" s="3"/>
      <c r="BJ473" s="3"/>
      <c r="BK473" s="3"/>
      <c r="BL473" s="3"/>
      <c r="BM473" s="3"/>
      <c r="BN473" s="3"/>
      <c r="BO473" s="2"/>
    </row>
    <row r="474" spans="1:67" x14ac:dyDescent="0.35">
      <c r="A474" s="1"/>
      <c r="B474" s="6"/>
      <c r="C474" s="2" t="s">
        <v>7</v>
      </c>
      <c r="D474" s="5">
        <f>$A$472-D473</f>
        <v>95</v>
      </c>
      <c r="E474" s="5">
        <f t="shared" ref="E474:BF474" si="77">$A$472-E473</f>
        <v>101</v>
      </c>
      <c r="F474" s="5">
        <f t="shared" si="77"/>
        <v>68</v>
      </c>
      <c r="G474" s="5">
        <f t="shared" si="77"/>
        <v>42</v>
      </c>
      <c r="H474" s="5">
        <f t="shared" si="77"/>
        <v>27</v>
      </c>
      <c r="I474" s="5">
        <f t="shared" si="77"/>
        <v>150</v>
      </c>
      <c r="J474" s="5">
        <f t="shared" si="77"/>
        <v>77</v>
      </c>
      <c r="K474" s="5">
        <f t="shared" si="77"/>
        <v>79</v>
      </c>
      <c r="L474" s="5">
        <f t="shared" si="77"/>
        <v>138</v>
      </c>
      <c r="M474" s="5">
        <f t="shared" si="77"/>
        <v>56</v>
      </c>
      <c r="N474" s="5">
        <f t="shared" si="77"/>
        <v>151</v>
      </c>
      <c r="O474" s="5">
        <f t="shared" si="77"/>
        <v>131</v>
      </c>
      <c r="P474" s="5">
        <f t="shared" si="77"/>
        <v>233</v>
      </c>
      <c r="Q474" s="5">
        <f t="shared" si="77"/>
        <v>44</v>
      </c>
      <c r="R474" s="5">
        <f t="shared" si="77"/>
        <v>238</v>
      </c>
      <c r="S474" s="5">
        <f t="shared" si="77"/>
        <v>142</v>
      </c>
      <c r="T474" s="5">
        <f t="shared" si="77"/>
        <v>127</v>
      </c>
      <c r="U474" s="5">
        <f t="shared" si="77"/>
        <v>165</v>
      </c>
      <c r="V474" s="5">
        <f t="shared" si="77"/>
        <v>186</v>
      </c>
      <c r="W474" s="5">
        <f t="shared" si="77"/>
        <v>217</v>
      </c>
      <c r="X474" s="5">
        <f t="shared" si="77"/>
        <v>250</v>
      </c>
      <c r="Y474" s="5">
        <f t="shared" si="77"/>
        <v>205</v>
      </c>
      <c r="Z474" s="5">
        <f t="shared" si="77"/>
        <v>204</v>
      </c>
      <c r="AA474" s="5">
        <f t="shared" si="77"/>
        <v>285</v>
      </c>
      <c r="AB474" s="5">
        <f t="shared" si="77"/>
        <v>372</v>
      </c>
      <c r="AC474" s="5">
        <f t="shared" si="77"/>
        <v>154</v>
      </c>
      <c r="AD474" s="5">
        <f t="shared" si="77"/>
        <v>278</v>
      </c>
      <c r="AE474" s="5">
        <f t="shared" si="77"/>
        <v>186</v>
      </c>
      <c r="AF474" s="5">
        <f t="shared" si="77"/>
        <v>197</v>
      </c>
      <c r="AG474" s="5">
        <f t="shared" si="77"/>
        <v>197</v>
      </c>
      <c r="AH474" s="5">
        <f t="shared" si="77"/>
        <v>229</v>
      </c>
      <c r="AI474" s="5">
        <f t="shared" si="77"/>
        <v>289</v>
      </c>
      <c r="AJ474" s="5">
        <f t="shared" si="77"/>
        <v>254</v>
      </c>
      <c r="AK474" s="5">
        <f t="shared" si="77"/>
        <v>253</v>
      </c>
      <c r="AL474" s="5">
        <f t="shared" si="77"/>
        <v>258</v>
      </c>
      <c r="AM474" s="5">
        <f t="shared" si="77"/>
        <v>283</v>
      </c>
      <c r="AN474" s="5">
        <f t="shared" si="77"/>
        <v>397</v>
      </c>
      <c r="AO474" s="5">
        <f t="shared" si="77"/>
        <v>408</v>
      </c>
      <c r="AP474" s="5">
        <f t="shared" si="77"/>
        <v>408</v>
      </c>
      <c r="AQ474" s="5">
        <f t="shared" si="77"/>
        <v>338</v>
      </c>
      <c r="AR474" s="5">
        <f t="shared" si="77"/>
        <v>341</v>
      </c>
      <c r="AS474" s="5">
        <f t="shared" si="77"/>
        <v>361</v>
      </c>
      <c r="AT474" s="5">
        <f t="shared" si="77"/>
        <v>271</v>
      </c>
      <c r="AU474" s="5">
        <f t="shared" si="77"/>
        <v>407</v>
      </c>
      <c r="AV474" s="5">
        <f t="shared" si="77"/>
        <v>403</v>
      </c>
      <c r="AW474" s="5">
        <f t="shared" si="77"/>
        <v>393</v>
      </c>
      <c r="AX474" s="5">
        <f t="shared" si="77"/>
        <v>436</v>
      </c>
      <c r="AY474" s="5">
        <f t="shared" si="77"/>
        <v>413</v>
      </c>
      <c r="AZ474" s="5">
        <f t="shared" si="77"/>
        <v>386</v>
      </c>
      <c r="BA474" s="5">
        <f t="shared" si="77"/>
        <v>298</v>
      </c>
      <c r="BB474" s="5">
        <f t="shared" si="77"/>
        <v>321</v>
      </c>
      <c r="BC474" s="5">
        <f t="shared" si="77"/>
        <v>327</v>
      </c>
      <c r="BD474" s="5">
        <f t="shared" si="77"/>
        <v>346</v>
      </c>
      <c r="BE474" s="5">
        <f t="shared" si="77"/>
        <v>448</v>
      </c>
      <c r="BF474" s="5">
        <f t="shared" si="77"/>
        <v>434</v>
      </c>
      <c r="BG474" s="2"/>
      <c r="BH474" s="3"/>
      <c r="BI474" s="3"/>
      <c r="BJ474" s="3"/>
      <c r="BK474" s="3"/>
      <c r="BL474" s="3"/>
      <c r="BM474" s="3"/>
      <c r="BN474" s="3"/>
      <c r="BO474" s="2"/>
    </row>
    <row r="475" spans="1:67" x14ac:dyDescent="0.35">
      <c r="A475" s="1"/>
      <c r="B475" s="6"/>
      <c r="C475" s="2" t="s">
        <v>8</v>
      </c>
      <c r="D475" s="2">
        <f>D473/$A$472</f>
        <v>0.79830148619957542</v>
      </c>
      <c r="E475" s="2">
        <f t="shared" ref="E475:BF475" si="78">E473/$A$472</f>
        <v>0.78556263269639071</v>
      </c>
      <c r="F475" s="2">
        <f t="shared" si="78"/>
        <v>0.85562632696390661</v>
      </c>
      <c r="G475" s="2">
        <f t="shared" si="78"/>
        <v>0.91082802547770703</v>
      </c>
      <c r="H475" s="2">
        <f t="shared" si="78"/>
        <v>0.9426751592356688</v>
      </c>
      <c r="I475" s="2">
        <f t="shared" si="78"/>
        <v>0.68152866242038213</v>
      </c>
      <c r="J475" s="2">
        <f t="shared" si="78"/>
        <v>0.83651804670912955</v>
      </c>
      <c r="K475" s="2">
        <f t="shared" si="78"/>
        <v>0.83227176220806798</v>
      </c>
      <c r="L475" s="2">
        <f t="shared" si="78"/>
        <v>0.70700636942675155</v>
      </c>
      <c r="M475" s="2">
        <f t="shared" si="78"/>
        <v>0.88110403397027603</v>
      </c>
      <c r="N475" s="2">
        <f t="shared" si="78"/>
        <v>0.67940552016985134</v>
      </c>
      <c r="O475" s="2">
        <f t="shared" si="78"/>
        <v>0.72186836518046704</v>
      </c>
      <c r="P475" s="2">
        <f t="shared" si="78"/>
        <v>0.50530785562632696</v>
      </c>
      <c r="Q475" s="2">
        <f t="shared" si="78"/>
        <v>0.90658174097664546</v>
      </c>
      <c r="R475" s="2">
        <f t="shared" si="78"/>
        <v>0.49469214437367304</v>
      </c>
      <c r="S475" s="2">
        <f t="shared" si="78"/>
        <v>0.69851380042462841</v>
      </c>
      <c r="T475" s="2">
        <f t="shared" si="78"/>
        <v>0.73036093418259018</v>
      </c>
      <c r="U475" s="2">
        <f t="shared" si="78"/>
        <v>0.64968152866242035</v>
      </c>
      <c r="V475" s="2">
        <f t="shared" si="78"/>
        <v>0.60509554140127386</v>
      </c>
      <c r="W475" s="2">
        <f t="shared" si="78"/>
        <v>0.53927813163481952</v>
      </c>
      <c r="X475" s="2">
        <f t="shared" si="78"/>
        <v>0.46921443736730362</v>
      </c>
      <c r="Y475" s="2">
        <f t="shared" si="78"/>
        <v>0.56475583864118895</v>
      </c>
      <c r="Z475" s="2">
        <f t="shared" si="78"/>
        <v>0.56687898089171973</v>
      </c>
      <c r="AA475" s="2">
        <f t="shared" si="78"/>
        <v>0.39490445859872614</v>
      </c>
      <c r="AB475" s="2">
        <f t="shared" si="78"/>
        <v>0.21019108280254778</v>
      </c>
      <c r="AC475" s="2">
        <f t="shared" si="78"/>
        <v>0.67303609341825898</v>
      </c>
      <c r="AD475" s="2">
        <f t="shared" si="78"/>
        <v>0.40976645435244163</v>
      </c>
      <c r="AE475" s="2">
        <f t="shared" si="78"/>
        <v>0.60509554140127386</v>
      </c>
      <c r="AF475" s="2">
        <f t="shared" si="78"/>
        <v>0.58174097664543523</v>
      </c>
      <c r="AG475" s="2">
        <f t="shared" si="78"/>
        <v>0.58174097664543523</v>
      </c>
      <c r="AH475" s="2">
        <f t="shared" si="78"/>
        <v>0.5138004246284501</v>
      </c>
      <c r="AI475" s="2">
        <f t="shared" si="78"/>
        <v>0.386411889596603</v>
      </c>
      <c r="AJ475" s="2">
        <f t="shared" si="78"/>
        <v>0.46072186836518048</v>
      </c>
      <c r="AK475" s="2">
        <f t="shared" si="78"/>
        <v>0.46284501061571126</v>
      </c>
      <c r="AL475" s="2">
        <f t="shared" si="78"/>
        <v>0.45222929936305734</v>
      </c>
      <c r="AM475" s="2">
        <f t="shared" si="78"/>
        <v>0.39915074309978771</v>
      </c>
      <c r="AN475" s="2">
        <f t="shared" si="78"/>
        <v>0.15711252653927812</v>
      </c>
      <c r="AO475" s="2">
        <f t="shared" si="78"/>
        <v>0.13375796178343949</v>
      </c>
      <c r="AP475" s="2">
        <f t="shared" si="78"/>
        <v>0.13375796178343949</v>
      </c>
      <c r="AQ475" s="2">
        <f t="shared" si="78"/>
        <v>0.28237791932059447</v>
      </c>
      <c r="AR475" s="2">
        <f t="shared" si="78"/>
        <v>0.27600849256900212</v>
      </c>
      <c r="AS475" s="2">
        <f t="shared" si="78"/>
        <v>0.23354564755838642</v>
      </c>
      <c r="AT475" s="2">
        <f t="shared" si="78"/>
        <v>0.42462845010615713</v>
      </c>
      <c r="AU475" s="2">
        <f t="shared" si="78"/>
        <v>0.13588110403397027</v>
      </c>
      <c r="AV475" s="2">
        <f t="shared" si="78"/>
        <v>0.14437367303609341</v>
      </c>
      <c r="AW475" s="2">
        <f t="shared" si="78"/>
        <v>0.16560509554140126</v>
      </c>
      <c r="AX475" s="2">
        <f t="shared" si="78"/>
        <v>7.4309978768577492E-2</v>
      </c>
      <c r="AY475" s="2">
        <f t="shared" si="78"/>
        <v>0.12314225053078556</v>
      </c>
      <c r="AZ475" s="2">
        <f t="shared" si="78"/>
        <v>0.18046709129511676</v>
      </c>
      <c r="BA475" s="2">
        <f t="shared" si="78"/>
        <v>0.36730360934182588</v>
      </c>
      <c r="BB475" s="2">
        <f t="shared" si="78"/>
        <v>0.31847133757961782</v>
      </c>
      <c r="BC475" s="2">
        <f t="shared" si="78"/>
        <v>0.30573248407643311</v>
      </c>
      <c r="BD475" s="2">
        <f t="shared" si="78"/>
        <v>0.26539278131634819</v>
      </c>
      <c r="BE475" s="2">
        <f t="shared" si="78"/>
        <v>4.8832271762208071E-2</v>
      </c>
      <c r="BF475" s="2">
        <f t="shared" si="78"/>
        <v>7.8556263269639062E-2</v>
      </c>
      <c r="BG475" s="2"/>
      <c r="BH475" s="3"/>
      <c r="BI475" s="3"/>
      <c r="BJ475" s="3"/>
      <c r="BK475" s="3"/>
      <c r="BL475" s="3"/>
      <c r="BM475" s="3"/>
      <c r="BN475" s="3"/>
      <c r="BO475" s="2"/>
    </row>
    <row r="476" spans="1:67" x14ac:dyDescent="0.35">
      <c r="A476" s="1"/>
      <c r="B476" s="6"/>
      <c r="C476" s="2" t="s">
        <v>5</v>
      </c>
      <c r="D476" s="2">
        <f>-LN((D473/$A$472)/(1-(D473/$A$472)))</f>
        <v>-1.3757122517893541</v>
      </c>
      <c r="E476" s="2">
        <f t="shared" ref="E476:BF476" si="79">-LN((E473/$A$472)/(1-(E473/$A$472)))</f>
        <v>-1.298382488797011</v>
      </c>
      <c r="F476" s="2">
        <f t="shared" si="79"/>
        <v>-1.7794288567705765</v>
      </c>
      <c r="G476" s="2">
        <f t="shared" si="79"/>
        <v>-2.323787300644649</v>
      </c>
      <c r="H476" s="2">
        <f t="shared" si="79"/>
        <v>-2.799987696427896</v>
      </c>
      <c r="I476" s="2">
        <f t="shared" si="79"/>
        <v>-0.76080582903375993</v>
      </c>
      <c r="J476" s="2">
        <f t="shared" si="79"/>
        <v>-1.6325454874442502</v>
      </c>
      <c r="K476" s="2">
        <f t="shared" si="79"/>
        <v>-1.6018139873234414</v>
      </c>
      <c r="L476" s="2">
        <f t="shared" si="79"/>
        <v>-0.88088880482323895</v>
      </c>
      <c r="M476" s="2">
        <f t="shared" si="79"/>
        <v>-2.0029268294955491</v>
      </c>
      <c r="N476" s="2">
        <f t="shared" si="79"/>
        <v>-0.75104115897884782</v>
      </c>
      <c r="O476" s="2">
        <f t="shared" si="79"/>
        <v>-0.95374829440905529</v>
      </c>
      <c r="P476" s="2">
        <f t="shared" si="79"/>
        <v>-2.1232220105774118E-2</v>
      </c>
      <c r="Q476" s="2">
        <f t="shared" si="79"/>
        <v>-2.2725943793103638</v>
      </c>
      <c r="R476" s="2">
        <f t="shared" si="79"/>
        <v>2.1232220105774167E-2</v>
      </c>
      <c r="S476" s="2">
        <f t="shared" si="79"/>
        <v>-0.84023069316411092</v>
      </c>
      <c r="T476" s="2">
        <f t="shared" si="79"/>
        <v>-0.99645457091480683</v>
      </c>
      <c r="U476" s="2">
        <f t="shared" si="79"/>
        <v>-0.61763962805180006</v>
      </c>
      <c r="V476" s="2">
        <f t="shared" si="79"/>
        <v>-0.4267425065554491</v>
      </c>
      <c r="W476" s="2">
        <f t="shared" si="79"/>
        <v>-0.15743691347807706</v>
      </c>
      <c r="X476" s="2">
        <f t="shared" si="79"/>
        <v>0.1232982163444936</v>
      </c>
      <c r="Y476" s="2">
        <f t="shared" si="79"/>
        <v>-0.26048632964329077</v>
      </c>
      <c r="Z476" s="2">
        <f t="shared" si="79"/>
        <v>-0.26912866455603313</v>
      </c>
      <c r="AA476" s="2">
        <f t="shared" si="79"/>
        <v>0.42674250655544921</v>
      </c>
      <c r="AB476" s="2">
        <f t="shared" si="79"/>
        <v>1.3237740041385566</v>
      </c>
      <c r="AC476" s="2">
        <f t="shared" si="79"/>
        <v>-0.72194917146365123</v>
      </c>
      <c r="AD476" s="2">
        <f t="shared" si="79"/>
        <v>0.36493092478575151</v>
      </c>
      <c r="AE476" s="2">
        <f t="shared" si="79"/>
        <v>-0.4267425065554491</v>
      </c>
      <c r="AF476" s="2">
        <f t="shared" si="79"/>
        <v>-0.3299243776500817</v>
      </c>
      <c r="AG476" s="2">
        <f t="shared" si="79"/>
        <v>-0.3299243776500817</v>
      </c>
      <c r="AH476" s="2">
        <f t="shared" si="79"/>
        <v>-5.5215722602446768E-2</v>
      </c>
      <c r="AI476" s="2">
        <f t="shared" si="79"/>
        <v>0.46242000103563663</v>
      </c>
      <c r="AJ476" s="2">
        <f t="shared" si="79"/>
        <v>0.15743691347807698</v>
      </c>
      <c r="AK476" s="2">
        <f t="shared" si="79"/>
        <v>0.14889442593843119</v>
      </c>
      <c r="AL476" s="2">
        <f t="shared" si="79"/>
        <v>0.1916674192121923</v>
      </c>
      <c r="AM476" s="2">
        <f t="shared" si="79"/>
        <v>0.40900493481328831</v>
      </c>
      <c r="AN476" s="2">
        <f t="shared" si="79"/>
        <v>1.6798711874830208</v>
      </c>
      <c r="AO476" s="2">
        <f t="shared" si="79"/>
        <v>1.8681324480126291</v>
      </c>
      <c r="AP476" s="2">
        <f t="shared" si="79"/>
        <v>1.8681324480126291</v>
      </c>
      <c r="AQ476" s="2">
        <f t="shared" si="79"/>
        <v>0.93269676726126516</v>
      </c>
      <c r="AR476" s="2">
        <f t="shared" si="79"/>
        <v>0.96434802682793452</v>
      </c>
      <c r="AS476" s="2">
        <f t="shared" si="79"/>
        <v>1.1883975925404648</v>
      </c>
      <c r="AT476" s="2">
        <f t="shared" si="79"/>
        <v>0.30380145433166422</v>
      </c>
      <c r="AU476" s="2">
        <f t="shared" si="79"/>
        <v>1.8499301020829231</v>
      </c>
      <c r="AV476" s="2">
        <f t="shared" si="79"/>
        <v>1.7794288567705765</v>
      </c>
      <c r="AW476" s="2">
        <f t="shared" si="79"/>
        <v>1.6171007851796697</v>
      </c>
      <c r="AX476" s="2">
        <f t="shared" si="79"/>
        <v>2.5222941818596207</v>
      </c>
      <c r="AY476" s="2">
        <f t="shared" si="79"/>
        <v>1.9630045824146134</v>
      </c>
      <c r="AZ476" s="2">
        <f t="shared" si="79"/>
        <v>1.5131861129745146</v>
      </c>
      <c r="BA476" s="2">
        <f t="shared" si="79"/>
        <v>0.54380189200762574</v>
      </c>
      <c r="BB476" s="2">
        <f t="shared" si="79"/>
        <v>0.76080582903376026</v>
      </c>
      <c r="BC476" s="2">
        <f t="shared" si="79"/>
        <v>0.82014687132125297</v>
      </c>
      <c r="BD476" s="2">
        <f t="shared" si="79"/>
        <v>1.0181250377554232</v>
      </c>
      <c r="BE476" s="2">
        <f t="shared" si="79"/>
        <v>2.9692990164858353</v>
      </c>
      <c r="BF476" s="2">
        <f t="shared" si="79"/>
        <v>2.4621266214561803</v>
      </c>
      <c r="BG476" s="2"/>
      <c r="BH476" s="3"/>
      <c r="BI476" s="3"/>
      <c r="BJ476" s="3"/>
      <c r="BK476" s="3"/>
      <c r="BL476" s="3"/>
      <c r="BM476" s="3"/>
      <c r="BN476" s="3"/>
      <c r="BO476" s="2"/>
    </row>
    <row r="477" spans="1:67" x14ac:dyDescent="0.35">
      <c r="A477" s="1"/>
      <c r="B477" s="7"/>
      <c r="C477" s="2"/>
      <c r="D477" s="2">
        <f>D476+MIN($D$476:$BF$476)*(-1)+1</f>
        <v>2.4242754446385417</v>
      </c>
      <c r="E477" s="2">
        <f t="shared" ref="E477:BF477" si="80">E476+MIN($D$476:$BF$476)*(-1)+1</f>
        <v>2.501605207630885</v>
      </c>
      <c r="F477" s="2">
        <f t="shared" si="80"/>
        <v>2.0205588396573195</v>
      </c>
      <c r="G477" s="2">
        <f t="shared" si="80"/>
        <v>1.476200395783247</v>
      </c>
      <c r="H477" s="2">
        <f t="shared" si="80"/>
        <v>1</v>
      </c>
      <c r="I477" s="2">
        <f t="shared" si="80"/>
        <v>3.0391818673941362</v>
      </c>
      <c r="J477" s="2">
        <f t="shared" si="80"/>
        <v>2.1674422089836458</v>
      </c>
      <c r="K477" s="2">
        <f t="shared" si="80"/>
        <v>2.1981737091044549</v>
      </c>
      <c r="L477" s="2">
        <f t="shared" si="80"/>
        <v>2.9190988916046572</v>
      </c>
      <c r="M477" s="2">
        <f t="shared" si="80"/>
        <v>1.7970608669323469</v>
      </c>
      <c r="N477" s="2">
        <f t="shared" si="80"/>
        <v>3.0489465374490483</v>
      </c>
      <c r="O477" s="2">
        <f t="shared" si="80"/>
        <v>2.8462394020188406</v>
      </c>
      <c r="P477" s="2">
        <f t="shared" si="80"/>
        <v>3.7787554763221221</v>
      </c>
      <c r="Q477" s="2">
        <f t="shared" si="80"/>
        <v>1.5273933171175322</v>
      </c>
      <c r="R477" s="2">
        <f t="shared" si="80"/>
        <v>3.82121991653367</v>
      </c>
      <c r="S477" s="2">
        <f t="shared" si="80"/>
        <v>2.959757003263785</v>
      </c>
      <c r="T477" s="2">
        <f t="shared" si="80"/>
        <v>2.8035331255130891</v>
      </c>
      <c r="U477" s="2">
        <f t="shared" si="80"/>
        <v>3.1823480683760961</v>
      </c>
      <c r="V477" s="2">
        <f t="shared" si="80"/>
        <v>3.3732451898724469</v>
      </c>
      <c r="W477" s="2">
        <f t="shared" si="80"/>
        <v>3.6425507829498192</v>
      </c>
      <c r="X477" s="2">
        <f t="shared" si="80"/>
        <v>3.9232859127723896</v>
      </c>
      <c r="Y477" s="2">
        <f t="shared" si="80"/>
        <v>3.5395013667846054</v>
      </c>
      <c r="Z477" s="2">
        <f t="shared" si="80"/>
        <v>3.5308590318718629</v>
      </c>
      <c r="AA477" s="2">
        <f t="shared" si="80"/>
        <v>4.2267302029833456</v>
      </c>
      <c r="AB477" s="2">
        <f t="shared" si="80"/>
        <v>5.1237617005664529</v>
      </c>
      <c r="AC477" s="2">
        <f t="shared" si="80"/>
        <v>3.0780385249642448</v>
      </c>
      <c r="AD477" s="2">
        <f t="shared" si="80"/>
        <v>4.1649186212136478</v>
      </c>
      <c r="AE477" s="2">
        <f t="shared" si="80"/>
        <v>3.3732451898724469</v>
      </c>
      <c r="AF477" s="2">
        <f t="shared" si="80"/>
        <v>3.4700633187778145</v>
      </c>
      <c r="AG477" s="2">
        <f t="shared" si="80"/>
        <v>3.4700633187778145</v>
      </c>
      <c r="AH477" s="2">
        <f t="shared" si="80"/>
        <v>3.7447719738254492</v>
      </c>
      <c r="AI477" s="2">
        <f t="shared" si="80"/>
        <v>4.2624076974635328</v>
      </c>
      <c r="AJ477" s="2">
        <f t="shared" si="80"/>
        <v>3.9574246099059729</v>
      </c>
      <c r="AK477" s="2">
        <f t="shared" si="80"/>
        <v>3.9488821223663271</v>
      </c>
      <c r="AL477" s="2">
        <f t="shared" si="80"/>
        <v>3.9916551156400883</v>
      </c>
      <c r="AM477" s="2">
        <f t="shared" si="80"/>
        <v>4.2089926312411841</v>
      </c>
      <c r="AN477" s="2">
        <f t="shared" si="80"/>
        <v>5.479858883910917</v>
      </c>
      <c r="AO477" s="2">
        <f t="shared" si="80"/>
        <v>5.6681201444405254</v>
      </c>
      <c r="AP477" s="2">
        <f t="shared" si="80"/>
        <v>5.6681201444405254</v>
      </c>
      <c r="AQ477" s="2">
        <f t="shared" si="80"/>
        <v>4.7326844636891607</v>
      </c>
      <c r="AR477" s="2">
        <f t="shared" si="80"/>
        <v>4.7643357232558303</v>
      </c>
      <c r="AS477" s="2">
        <f t="shared" si="80"/>
        <v>4.9883852889683613</v>
      </c>
      <c r="AT477" s="2">
        <f t="shared" si="80"/>
        <v>4.1037891507595603</v>
      </c>
      <c r="AU477" s="2">
        <f t="shared" si="80"/>
        <v>5.6499177985108187</v>
      </c>
      <c r="AV477" s="2">
        <f t="shared" si="80"/>
        <v>5.5794165531984721</v>
      </c>
      <c r="AW477" s="2">
        <f t="shared" si="80"/>
        <v>5.417088481607566</v>
      </c>
      <c r="AX477" s="2">
        <f t="shared" si="80"/>
        <v>6.3222818782875168</v>
      </c>
      <c r="AY477" s="2">
        <f t="shared" si="80"/>
        <v>5.7629922788425096</v>
      </c>
      <c r="AZ477" s="2">
        <f t="shared" si="80"/>
        <v>5.3131738094024108</v>
      </c>
      <c r="BA477" s="2">
        <f t="shared" si="80"/>
        <v>4.3437895884355218</v>
      </c>
      <c r="BB477" s="2">
        <f t="shared" si="80"/>
        <v>4.5607935254616567</v>
      </c>
      <c r="BC477" s="2">
        <f t="shared" si="80"/>
        <v>4.6201345677491492</v>
      </c>
      <c r="BD477" s="2">
        <f t="shared" si="80"/>
        <v>4.8181127341833196</v>
      </c>
      <c r="BE477" s="2">
        <f t="shared" si="80"/>
        <v>6.7692867129137309</v>
      </c>
      <c r="BF477" s="2">
        <f t="shared" si="80"/>
        <v>6.2621143178840768</v>
      </c>
      <c r="BG477" s="2"/>
      <c r="BH477" s="3"/>
      <c r="BI477" s="3"/>
      <c r="BJ477" s="3"/>
      <c r="BK477" s="3"/>
      <c r="BL477" s="3"/>
      <c r="BM477" s="3"/>
      <c r="BN477" s="3"/>
      <c r="BO477" s="2"/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2"/>
  <sheetViews>
    <sheetView topLeftCell="A22" workbookViewId="0">
      <selection activeCell="B103" sqref="A1:D122"/>
    </sheetView>
  </sheetViews>
  <sheetFormatPr defaultColWidth="9.1328125" defaultRowHeight="17.25" x14ac:dyDescent="0.45"/>
  <cols>
    <col min="1" max="1" width="6" style="52" bestFit="1" customWidth="1"/>
    <col min="2" max="2" width="40.1328125" style="52" bestFit="1" customWidth="1"/>
    <col min="3" max="3" width="9.1328125" style="52" bestFit="1" customWidth="1"/>
    <col min="4" max="4" width="10.265625" style="52" bestFit="1" customWidth="1"/>
    <col min="5" max="16384" width="9.1328125" style="52"/>
  </cols>
  <sheetData>
    <row r="1" spans="1:4" ht="17.649999999999999" thickBot="1" x14ac:dyDescent="0.5">
      <c r="A1" s="60" t="s">
        <v>54</v>
      </c>
      <c r="B1" s="61" t="s">
        <v>523</v>
      </c>
      <c r="C1" s="61" t="s">
        <v>11</v>
      </c>
      <c r="D1" s="61" t="s">
        <v>12</v>
      </c>
    </row>
    <row r="2" spans="1:4" ht="17.649999999999999" thickBot="1" x14ac:dyDescent="0.5">
      <c r="A2" s="56">
        <v>1</v>
      </c>
      <c r="B2" s="57" t="s">
        <v>18</v>
      </c>
      <c r="C2" s="58">
        <v>79.88</v>
      </c>
      <c r="D2" s="58" t="s">
        <v>10</v>
      </c>
    </row>
    <row r="3" spans="1:4" ht="17.649999999999999" thickBot="1" x14ac:dyDescent="0.5">
      <c r="A3" s="56">
        <v>2</v>
      </c>
      <c r="B3" s="57" t="s">
        <v>15</v>
      </c>
      <c r="C3" s="58">
        <v>79.8</v>
      </c>
      <c r="D3" s="58" t="s">
        <v>10</v>
      </c>
    </row>
    <row r="4" spans="1:4" ht="17.649999999999999" thickBot="1" x14ac:dyDescent="0.5">
      <c r="A4" s="56">
        <v>3</v>
      </c>
      <c r="B4" s="57" t="s">
        <v>471</v>
      </c>
      <c r="C4" s="58">
        <v>79.7</v>
      </c>
      <c r="D4" s="58" t="s">
        <v>10</v>
      </c>
    </row>
    <row r="5" spans="1:4" ht="17.649999999999999" thickBot="1" x14ac:dyDescent="0.5">
      <c r="A5" s="56">
        <v>4</v>
      </c>
      <c r="B5" s="59" t="s">
        <v>25</v>
      </c>
      <c r="C5" s="58">
        <v>76.09</v>
      </c>
      <c r="D5" s="58" t="s">
        <v>10</v>
      </c>
    </row>
    <row r="6" spans="1:4" ht="17.649999999999999" thickBot="1" x14ac:dyDescent="0.5">
      <c r="A6" s="56">
        <v>5</v>
      </c>
      <c r="B6" s="57" t="s">
        <v>469</v>
      </c>
      <c r="C6" s="58">
        <v>67.819999999999993</v>
      </c>
      <c r="D6" s="58" t="s">
        <v>50</v>
      </c>
    </row>
    <row r="7" spans="1:4" ht="17.649999999999999" thickBot="1" x14ac:dyDescent="0.5">
      <c r="A7" s="56">
        <v>6</v>
      </c>
      <c r="B7" s="57" t="s">
        <v>29</v>
      </c>
      <c r="C7" s="58">
        <v>66.97</v>
      </c>
      <c r="D7" s="58" t="s">
        <v>50</v>
      </c>
    </row>
    <row r="8" spans="1:4" ht="17.649999999999999" thickBot="1" x14ac:dyDescent="0.5">
      <c r="A8" s="56">
        <v>7</v>
      </c>
      <c r="B8" s="57" t="s">
        <v>453</v>
      </c>
      <c r="C8" s="58">
        <v>66.849999999999994</v>
      </c>
      <c r="D8" s="58" t="s">
        <v>50</v>
      </c>
    </row>
    <row r="9" spans="1:4" ht="17.649999999999999" thickBot="1" x14ac:dyDescent="0.5">
      <c r="A9" s="56">
        <v>8</v>
      </c>
      <c r="B9" s="59" t="s">
        <v>437</v>
      </c>
      <c r="C9" s="58">
        <v>65.48</v>
      </c>
      <c r="D9" s="58" t="s">
        <v>50</v>
      </c>
    </row>
    <row r="10" spans="1:4" ht="17.649999999999999" thickBot="1" x14ac:dyDescent="0.5">
      <c r="A10" s="56">
        <v>9</v>
      </c>
      <c r="B10" s="57" t="s">
        <v>49</v>
      </c>
      <c r="C10" s="58">
        <v>65.239999999999995</v>
      </c>
      <c r="D10" s="58" t="s">
        <v>50</v>
      </c>
    </row>
    <row r="11" spans="1:4" ht="17.649999999999999" thickBot="1" x14ac:dyDescent="0.5">
      <c r="A11" s="74">
        <v>10</v>
      </c>
      <c r="B11" s="75" t="s">
        <v>468</v>
      </c>
      <c r="C11" s="76">
        <v>64.040000000000006</v>
      </c>
      <c r="D11" s="76" t="s">
        <v>51</v>
      </c>
    </row>
    <row r="12" spans="1:4" ht="17.649999999999999" thickBot="1" x14ac:dyDescent="0.5">
      <c r="A12" s="74">
        <v>11</v>
      </c>
      <c r="B12" s="77" t="s">
        <v>492</v>
      </c>
      <c r="C12" s="76">
        <v>62.53</v>
      </c>
      <c r="D12" s="76" t="s">
        <v>51</v>
      </c>
    </row>
    <row r="13" spans="1:4" ht="17.649999999999999" thickBot="1" x14ac:dyDescent="0.5">
      <c r="A13" s="74">
        <v>12</v>
      </c>
      <c r="B13" s="77" t="s">
        <v>438</v>
      </c>
      <c r="C13" s="76">
        <v>62.41</v>
      </c>
      <c r="D13" s="76" t="s">
        <v>51</v>
      </c>
    </row>
    <row r="14" spans="1:4" ht="17.649999999999999" thickBot="1" x14ac:dyDescent="0.5">
      <c r="A14" s="74">
        <v>13</v>
      </c>
      <c r="B14" s="75" t="s">
        <v>34</v>
      </c>
      <c r="C14" s="76">
        <v>62.25</v>
      </c>
      <c r="D14" s="76" t="s">
        <v>51</v>
      </c>
    </row>
    <row r="15" spans="1:4" ht="17.649999999999999" thickBot="1" x14ac:dyDescent="0.5">
      <c r="A15" s="74">
        <v>14</v>
      </c>
      <c r="B15" s="75" t="s">
        <v>21</v>
      </c>
      <c r="C15" s="76">
        <v>60.59</v>
      </c>
      <c r="D15" s="76" t="s">
        <v>51</v>
      </c>
    </row>
    <row r="16" spans="1:4" ht="17.649999999999999" thickBot="1" x14ac:dyDescent="0.5">
      <c r="A16" s="74">
        <v>15</v>
      </c>
      <c r="B16" s="75" t="s">
        <v>44</v>
      </c>
      <c r="C16" s="76">
        <v>60.43</v>
      </c>
      <c r="D16" s="76" t="s">
        <v>51</v>
      </c>
    </row>
    <row r="17" spans="1:4" ht="17.649999999999999" thickBot="1" x14ac:dyDescent="0.5">
      <c r="A17" s="74">
        <v>16</v>
      </c>
      <c r="B17" s="75" t="s">
        <v>16</v>
      </c>
      <c r="C17" s="76">
        <v>60.42</v>
      </c>
      <c r="D17" s="76" t="s">
        <v>51</v>
      </c>
    </row>
    <row r="18" spans="1:4" ht="17.649999999999999" thickBot="1" x14ac:dyDescent="0.5">
      <c r="A18" s="70">
        <v>17</v>
      </c>
      <c r="B18" s="71" t="s">
        <v>470</v>
      </c>
      <c r="C18" s="72">
        <v>59.29</v>
      </c>
      <c r="D18" s="72" t="s">
        <v>52</v>
      </c>
    </row>
    <row r="19" spans="1:4" ht="17.649999999999999" thickBot="1" x14ac:dyDescent="0.5">
      <c r="A19" s="70">
        <v>18</v>
      </c>
      <c r="B19" s="71" t="s">
        <v>497</v>
      </c>
      <c r="C19" s="72">
        <v>58.76</v>
      </c>
      <c r="D19" s="72" t="s">
        <v>52</v>
      </c>
    </row>
    <row r="20" spans="1:4" ht="17.649999999999999" thickBot="1" x14ac:dyDescent="0.5">
      <c r="A20" s="70">
        <v>19</v>
      </c>
      <c r="B20" s="71" t="s">
        <v>508</v>
      </c>
      <c r="C20" s="72">
        <v>58.74</v>
      </c>
      <c r="D20" s="72" t="s">
        <v>52</v>
      </c>
    </row>
    <row r="21" spans="1:4" ht="17.649999999999999" thickBot="1" x14ac:dyDescent="0.5">
      <c r="A21" s="70">
        <v>20</v>
      </c>
      <c r="B21" s="71" t="s">
        <v>441</v>
      </c>
      <c r="C21" s="72">
        <v>58</v>
      </c>
      <c r="D21" s="72" t="s">
        <v>52</v>
      </c>
    </row>
    <row r="22" spans="1:4" ht="17.649999999999999" thickBot="1" x14ac:dyDescent="0.5">
      <c r="A22" s="70">
        <v>21</v>
      </c>
      <c r="B22" s="71" t="s">
        <v>464</v>
      </c>
      <c r="C22" s="72">
        <v>57.6</v>
      </c>
      <c r="D22" s="72" t="s">
        <v>52</v>
      </c>
    </row>
    <row r="23" spans="1:4" ht="17.649999999999999" thickBot="1" x14ac:dyDescent="0.5">
      <c r="A23" s="70">
        <v>22</v>
      </c>
      <c r="B23" s="71" t="s">
        <v>24</v>
      </c>
      <c r="C23" s="72">
        <v>57.47</v>
      </c>
      <c r="D23" s="72" t="s">
        <v>52</v>
      </c>
    </row>
    <row r="24" spans="1:4" ht="17.649999999999999" thickBot="1" x14ac:dyDescent="0.5">
      <c r="A24" s="70">
        <v>23</v>
      </c>
      <c r="B24" s="73" t="s">
        <v>45</v>
      </c>
      <c r="C24" s="72">
        <v>57.44</v>
      </c>
      <c r="D24" s="72" t="s">
        <v>52</v>
      </c>
    </row>
    <row r="25" spans="1:4" ht="17.649999999999999" thickBot="1" x14ac:dyDescent="0.5">
      <c r="A25" s="70">
        <v>24</v>
      </c>
      <c r="B25" s="71" t="s">
        <v>23</v>
      </c>
      <c r="C25" s="72">
        <v>57.24</v>
      </c>
      <c r="D25" s="72" t="s">
        <v>52</v>
      </c>
    </row>
    <row r="26" spans="1:4" ht="17.649999999999999" thickBot="1" x14ac:dyDescent="0.5">
      <c r="A26" s="70">
        <v>25</v>
      </c>
      <c r="B26" s="73" t="s">
        <v>32</v>
      </c>
      <c r="C26" s="72">
        <v>57.09</v>
      </c>
      <c r="D26" s="72" t="s">
        <v>52</v>
      </c>
    </row>
    <row r="27" spans="1:4" ht="17.649999999999999" thickBot="1" x14ac:dyDescent="0.5">
      <c r="A27" s="70">
        <v>26</v>
      </c>
      <c r="B27" s="71" t="s">
        <v>28</v>
      </c>
      <c r="C27" s="72">
        <v>56.7</v>
      </c>
      <c r="D27" s="72" t="s">
        <v>52</v>
      </c>
    </row>
    <row r="28" spans="1:4" ht="17.649999999999999" thickBot="1" x14ac:dyDescent="0.5">
      <c r="A28" s="70">
        <v>27</v>
      </c>
      <c r="B28" s="73" t="s">
        <v>37</v>
      </c>
      <c r="C28" s="72">
        <v>56.67</v>
      </c>
      <c r="D28" s="72" t="s">
        <v>52</v>
      </c>
    </row>
    <row r="29" spans="1:4" ht="17.649999999999999" thickBot="1" x14ac:dyDescent="0.5">
      <c r="A29" s="70">
        <v>28</v>
      </c>
      <c r="B29" s="71" t="s">
        <v>444</v>
      </c>
      <c r="C29" s="72">
        <v>56.55</v>
      </c>
      <c r="D29" s="72" t="s">
        <v>52</v>
      </c>
    </row>
    <row r="30" spans="1:4" ht="17.649999999999999" thickBot="1" x14ac:dyDescent="0.5">
      <c r="A30" s="70">
        <v>29</v>
      </c>
      <c r="B30" s="73" t="s">
        <v>26</v>
      </c>
      <c r="C30" s="72">
        <v>56.49</v>
      </c>
      <c r="D30" s="72" t="s">
        <v>52</v>
      </c>
    </row>
    <row r="31" spans="1:4" ht="17.649999999999999" thickBot="1" x14ac:dyDescent="0.5">
      <c r="A31" s="70">
        <v>30</v>
      </c>
      <c r="B31" s="71" t="s">
        <v>500</v>
      </c>
      <c r="C31" s="72">
        <v>55.98</v>
      </c>
      <c r="D31" s="72" t="s">
        <v>52</v>
      </c>
    </row>
    <row r="32" spans="1:4" ht="17.649999999999999" thickBot="1" x14ac:dyDescent="0.5">
      <c r="A32" s="70">
        <v>31</v>
      </c>
      <c r="B32" s="73" t="s">
        <v>27</v>
      </c>
      <c r="C32" s="72">
        <v>55.63</v>
      </c>
      <c r="D32" s="72" t="s">
        <v>52</v>
      </c>
    </row>
    <row r="33" spans="1:4" ht="17.649999999999999" thickBot="1" x14ac:dyDescent="0.5">
      <c r="A33" s="70">
        <v>32</v>
      </c>
      <c r="B33" s="71" t="s">
        <v>462</v>
      </c>
      <c r="C33" s="72">
        <v>55.47</v>
      </c>
      <c r="D33" s="72" t="s">
        <v>52</v>
      </c>
    </row>
    <row r="34" spans="1:4" ht="17.649999999999999" thickBot="1" x14ac:dyDescent="0.5">
      <c r="A34" s="70">
        <v>33</v>
      </c>
      <c r="B34" s="71" t="s">
        <v>14</v>
      </c>
      <c r="C34" s="72">
        <v>55.43</v>
      </c>
      <c r="D34" s="72" t="s">
        <v>52</v>
      </c>
    </row>
    <row r="35" spans="1:4" ht="17.649999999999999" thickBot="1" x14ac:dyDescent="0.5">
      <c r="A35" s="70">
        <v>34</v>
      </c>
      <c r="B35" s="71" t="s">
        <v>442</v>
      </c>
      <c r="C35" s="72">
        <v>55.36</v>
      </c>
      <c r="D35" s="72" t="s">
        <v>52</v>
      </c>
    </row>
    <row r="36" spans="1:4" ht="17.649999999999999" thickBot="1" x14ac:dyDescent="0.5">
      <c r="A36" s="70">
        <v>35</v>
      </c>
      <c r="B36" s="71" t="s">
        <v>19</v>
      </c>
      <c r="C36" s="72">
        <v>55</v>
      </c>
      <c r="D36" s="72" t="s">
        <v>52</v>
      </c>
    </row>
    <row r="37" spans="1:4" ht="17.649999999999999" thickBot="1" x14ac:dyDescent="0.5">
      <c r="A37" s="62">
        <v>36</v>
      </c>
      <c r="B37" s="63" t="s">
        <v>501</v>
      </c>
      <c r="C37" s="64">
        <v>54.6</v>
      </c>
      <c r="D37" s="64" t="s">
        <v>53</v>
      </c>
    </row>
    <row r="38" spans="1:4" ht="17.649999999999999" thickBot="1" x14ac:dyDescent="0.5">
      <c r="A38" s="62">
        <v>37</v>
      </c>
      <c r="B38" s="63" t="s">
        <v>440</v>
      </c>
      <c r="C38" s="64">
        <v>54.53</v>
      </c>
      <c r="D38" s="64" t="s">
        <v>53</v>
      </c>
    </row>
    <row r="39" spans="1:4" ht="17.649999999999999" thickBot="1" x14ac:dyDescent="0.5">
      <c r="A39" s="62">
        <v>38</v>
      </c>
      <c r="B39" s="63" t="s">
        <v>491</v>
      </c>
      <c r="C39" s="64">
        <v>54.51</v>
      </c>
      <c r="D39" s="64" t="s">
        <v>53</v>
      </c>
    </row>
    <row r="40" spans="1:4" ht="17.649999999999999" thickBot="1" x14ac:dyDescent="0.5">
      <c r="A40" s="62">
        <v>39</v>
      </c>
      <c r="B40" s="63" t="s">
        <v>505</v>
      </c>
      <c r="C40" s="64">
        <v>53.71</v>
      </c>
      <c r="D40" s="64" t="s">
        <v>53</v>
      </c>
    </row>
    <row r="41" spans="1:4" ht="17.649999999999999" thickBot="1" x14ac:dyDescent="0.5">
      <c r="A41" s="62">
        <v>40</v>
      </c>
      <c r="B41" s="63" t="s">
        <v>456</v>
      </c>
      <c r="C41" s="64">
        <v>53.37</v>
      </c>
      <c r="D41" s="64" t="s">
        <v>53</v>
      </c>
    </row>
    <row r="42" spans="1:4" ht="17.649999999999999" thickBot="1" x14ac:dyDescent="0.5">
      <c r="A42" s="62">
        <v>41</v>
      </c>
      <c r="B42" s="63" t="s">
        <v>48</v>
      </c>
      <c r="C42" s="64">
        <v>53.25</v>
      </c>
      <c r="D42" s="64" t="s">
        <v>53</v>
      </c>
    </row>
    <row r="43" spans="1:4" ht="17.649999999999999" thickBot="1" x14ac:dyDescent="0.5">
      <c r="A43" s="62">
        <v>42</v>
      </c>
      <c r="B43" s="63" t="s">
        <v>457</v>
      </c>
      <c r="C43" s="64">
        <v>53.16</v>
      </c>
      <c r="D43" s="64" t="s">
        <v>53</v>
      </c>
    </row>
    <row r="44" spans="1:4" ht="17.649999999999999" thickBot="1" x14ac:dyDescent="0.5">
      <c r="A44" s="62">
        <v>43</v>
      </c>
      <c r="B44" s="63" t="s">
        <v>483</v>
      </c>
      <c r="C44" s="64">
        <v>53.14</v>
      </c>
      <c r="D44" s="64" t="s">
        <v>53</v>
      </c>
    </row>
    <row r="45" spans="1:4" ht="17.649999999999999" thickBot="1" x14ac:dyDescent="0.5">
      <c r="A45" s="62">
        <v>44</v>
      </c>
      <c r="B45" s="65" t="s">
        <v>480</v>
      </c>
      <c r="C45" s="64">
        <v>52.84</v>
      </c>
      <c r="D45" s="64" t="s">
        <v>53</v>
      </c>
    </row>
    <row r="46" spans="1:4" ht="17.649999999999999" thickBot="1" x14ac:dyDescent="0.5">
      <c r="A46" s="62">
        <v>45</v>
      </c>
      <c r="B46" s="63" t="s">
        <v>466</v>
      </c>
      <c r="C46" s="64">
        <v>52.79</v>
      </c>
      <c r="D46" s="64" t="s">
        <v>53</v>
      </c>
    </row>
    <row r="47" spans="1:4" ht="17.649999999999999" thickBot="1" x14ac:dyDescent="0.5">
      <c r="A47" s="62">
        <v>46</v>
      </c>
      <c r="B47" s="63" t="s">
        <v>521</v>
      </c>
      <c r="C47" s="64">
        <v>52.67</v>
      </c>
      <c r="D47" s="64" t="s">
        <v>53</v>
      </c>
    </row>
    <row r="48" spans="1:4" ht="17.649999999999999" thickBot="1" x14ac:dyDescent="0.5">
      <c r="A48" s="62">
        <v>47</v>
      </c>
      <c r="B48" s="65" t="s">
        <v>40</v>
      </c>
      <c r="C48" s="64">
        <v>52.59</v>
      </c>
      <c r="D48" s="64" t="s">
        <v>53</v>
      </c>
    </row>
    <row r="49" spans="1:4" ht="17.649999999999999" thickBot="1" x14ac:dyDescent="0.5">
      <c r="A49" s="62">
        <v>48</v>
      </c>
      <c r="B49" s="63" t="s">
        <v>445</v>
      </c>
      <c r="C49" s="64">
        <v>52.2</v>
      </c>
      <c r="D49" s="64" t="s">
        <v>53</v>
      </c>
    </row>
    <row r="50" spans="1:4" ht="17.649999999999999" thickBot="1" x14ac:dyDescent="0.5">
      <c r="A50" s="62">
        <v>49</v>
      </c>
      <c r="B50" s="63" t="s">
        <v>499</v>
      </c>
      <c r="C50" s="64">
        <v>52.15</v>
      </c>
      <c r="D50" s="64" t="s">
        <v>53</v>
      </c>
    </row>
    <row r="51" spans="1:4" ht="17.649999999999999" thickBot="1" x14ac:dyDescent="0.5">
      <c r="A51" s="62">
        <v>50</v>
      </c>
      <c r="B51" s="63" t="s">
        <v>503</v>
      </c>
      <c r="C51" s="64">
        <v>52.04</v>
      </c>
      <c r="D51" s="64" t="s">
        <v>53</v>
      </c>
    </row>
    <row r="52" spans="1:4" ht="17.649999999999999" thickBot="1" x14ac:dyDescent="0.5">
      <c r="A52" s="62">
        <v>51</v>
      </c>
      <c r="B52" s="63" t="s">
        <v>439</v>
      </c>
      <c r="C52" s="64">
        <v>51.65</v>
      </c>
      <c r="D52" s="64" t="s">
        <v>53</v>
      </c>
    </row>
    <row r="53" spans="1:4" ht="17.649999999999999" thickBot="1" x14ac:dyDescent="0.5">
      <c r="A53" s="62">
        <v>52</v>
      </c>
      <c r="B53" s="63" t="s">
        <v>520</v>
      </c>
      <c r="C53" s="64">
        <v>51.57</v>
      </c>
      <c r="D53" s="64" t="s">
        <v>53</v>
      </c>
    </row>
    <row r="54" spans="1:4" ht="17.649999999999999" thickBot="1" x14ac:dyDescent="0.5">
      <c r="A54" s="62">
        <v>53</v>
      </c>
      <c r="B54" s="63" t="s">
        <v>510</v>
      </c>
      <c r="C54" s="64">
        <v>51.12</v>
      </c>
      <c r="D54" s="64" t="s">
        <v>53</v>
      </c>
    </row>
    <row r="55" spans="1:4" ht="17.649999999999999" thickBot="1" x14ac:dyDescent="0.5">
      <c r="A55" s="62">
        <v>54</v>
      </c>
      <c r="B55" s="63" t="s">
        <v>476</v>
      </c>
      <c r="C55" s="64">
        <v>50.96</v>
      </c>
      <c r="D55" s="64" t="s">
        <v>53</v>
      </c>
    </row>
    <row r="56" spans="1:4" ht="17.649999999999999" thickBot="1" x14ac:dyDescent="0.5">
      <c r="A56" s="62">
        <v>55</v>
      </c>
      <c r="B56" s="65" t="s">
        <v>17</v>
      </c>
      <c r="C56" s="64">
        <v>50.92</v>
      </c>
      <c r="D56" s="64" t="s">
        <v>53</v>
      </c>
    </row>
    <row r="57" spans="1:4" ht="17.649999999999999" thickBot="1" x14ac:dyDescent="0.5">
      <c r="A57" s="62">
        <v>56</v>
      </c>
      <c r="B57" s="63" t="s">
        <v>42</v>
      </c>
      <c r="C57" s="64">
        <v>50.44</v>
      </c>
      <c r="D57" s="64" t="s">
        <v>53</v>
      </c>
    </row>
    <row r="58" spans="1:4" ht="17.649999999999999" thickBot="1" x14ac:dyDescent="0.5">
      <c r="A58" s="62">
        <v>57</v>
      </c>
      <c r="B58" s="63" t="s">
        <v>498</v>
      </c>
      <c r="C58" s="64">
        <v>50.18</v>
      </c>
      <c r="D58" s="64" t="s">
        <v>53</v>
      </c>
    </row>
    <row r="59" spans="1:4" ht="17.649999999999999" thickBot="1" x14ac:dyDescent="0.5">
      <c r="A59" s="62">
        <v>58</v>
      </c>
      <c r="B59" s="65" t="s">
        <v>475</v>
      </c>
      <c r="C59" s="64">
        <v>50.05</v>
      </c>
      <c r="D59" s="64" t="s">
        <v>53</v>
      </c>
    </row>
    <row r="60" spans="1:4" ht="17.649999999999999" thickBot="1" x14ac:dyDescent="0.5">
      <c r="A60" s="66">
        <v>59</v>
      </c>
      <c r="B60" s="69" t="s">
        <v>447</v>
      </c>
      <c r="C60" s="68">
        <v>49.95</v>
      </c>
      <c r="D60" s="68" t="s">
        <v>6</v>
      </c>
    </row>
    <row r="61" spans="1:4" ht="17.649999999999999" thickBot="1" x14ac:dyDescent="0.5">
      <c r="A61" s="66">
        <v>60</v>
      </c>
      <c r="B61" s="67" t="s">
        <v>511</v>
      </c>
      <c r="C61" s="68">
        <v>49.84</v>
      </c>
      <c r="D61" s="68" t="s">
        <v>6</v>
      </c>
    </row>
    <row r="62" spans="1:4" ht="17.649999999999999" thickBot="1" x14ac:dyDescent="0.5">
      <c r="A62" s="66">
        <v>61</v>
      </c>
      <c r="B62" s="67" t="s">
        <v>30</v>
      </c>
      <c r="C62" s="68">
        <v>49.84</v>
      </c>
      <c r="D62" s="68" t="s">
        <v>6</v>
      </c>
    </row>
    <row r="63" spans="1:4" ht="17.649999999999999" thickBot="1" x14ac:dyDescent="0.5">
      <c r="A63" s="66">
        <v>62</v>
      </c>
      <c r="B63" s="67" t="s">
        <v>22</v>
      </c>
      <c r="C63" s="68">
        <v>49.34</v>
      </c>
      <c r="D63" s="68" t="s">
        <v>6</v>
      </c>
    </row>
    <row r="64" spans="1:4" ht="17.649999999999999" thickBot="1" x14ac:dyDescent="0.5">
      <c r="A64" s="66">
        <v>63</v>
      </c>
      <c r="B64" s="67" t="s">
        <v>494</v>
      </c>
      <c r="C64" s="68">
        <v>48.61</v>
      </c>
      <c r="D64" s="68" t="s">
        <v>6</v>
      </c>
    </row>
    <row r="65" spans="1:4" ht="17.649999999999999" thickBot="1" x14ac:dyDescent="0.5">
      <c r="A65" s="66">
        <v>64</v>
      </c>
      <c r="B65" s="67" t="s">
        <v>482</v>
      </c>
      <c r="C65" s="68">
        <v>48.6</v>
      </c>
      <c r="D65" s="68" t="s">
        <v>6</v>
      </c>
    </row>
    <row r="66" spans="1:4" ht="17.649999999999999" thickBot="1" x14ac:dyDescent="0.5">
      <c r="A66" s="66">
        <v>65</v>
      </c>
      <c r="B66" s="67" t="s">
        <v>35</v>
      </c>
      <c r="C66" s="68">
        <v>48.55</v>
      </c>
      <c r="D66" s="68" t="s">
        <v>6</v>
      </c>
    </row>
    <row r="67" spans="1:4" ht="17.649999999999999" thickBot="1" x14ac:dyDescent="0.5">
      <c r="A67" s="66">
        <v>66</v>
      </c>
      <c r="B67" s="67" t="s">
        <v>451</v>
      </c>
      <c r="C67" s="68">
        <v>48.14</v>
      </c>
      <c r="D67" s="68" t="s">
        <v>6</v>
      </c>
    </row>
    <row r="68" spans="1:4" ht="17.649999999999999" thickBot="1" x14ac:dyDescent="0.5">
      <c r="A68" s="66">
        <v>67</v>
      </c>
      <c r="B68" s="67" t="s">
        <v>449</v>
      </c>
      <c r="C68" s="68">
        <v>47.9</v>
      </c>
      <c r="D68" s="68" t="s">
        <v>6</v>
      </c>
    </row>
    <row r="69" spans="1:4" ht="17.649999999999999" thickBot="1" x14ac:dyDescent="0.5">
      <c r="A69" s="66">
        <v>68</v>
      </c>
      <c r="B69" s="69" t="s">
        <v>516</v>
      </c>
      <c r="C69" s="68">
        <v>47.78</v>
      </c>
      <c r="D69" s="68" t="s">
        <v>6</v>
      </c>
    </row>
    <row r="70" spans="1:4" ht="17.649999999999999" thickBot="1" x14ac:dyDescent="0.5">
      <c r="A70" s="66">
        <v>69</v>
      </c>
      <c r="B70" s="67" t="s">
        <v>46</v>
      </c>
      <c r="C70" s="68">
        <v>47.74</v>
      </c>
      <c r="D70" s="68" t="s">
        <v>6</v>
      </c>
    </row>
    <row r="71" spans="1:4" ht="17.649999999999999" thickBot="1" x14ac:dyDescent="0.5">
      <c r="A71" s="66">
        <v>70</v>
      </c>
      <c r="B71" s="78" t="s">
        <v>484</v>
      </c>
      <c r="C71" s="68">
        <v>47.72</v>
      </c>
      <c r="D71" s="68" t="s">
        <v>6</v>
      </c>
    </row>
    <row r="72" spans="1:4" ht="17.649999999999999" thickBot="1" x14ac:dyDescent="0.5">
      <c r="A72" s="66">
        <v>71</v>
      </c>
      <c r="B72" s="78" t="s">
        <v>47</v>
      </c>
      <c r="C72" s="68">
        <v>47.51</v>
      </c>
      <c r="D72" s="68" t="s">
        <v>6</v>
      </c>
    </row>
    <row r="73" spans="1:4" ht="17.649999999999999" thickBot="1" x14ac:dyDescent="0.5">
      <c r="A73" s="66">
        <v>72</v>
      </c>
      <c r="B73" s="78" t="s">
        <v>502</v>
      </c>
      <c r="C73" s="68">
        <v>47.35</v>
      </c>
      <c r="D73" s="68" t="s">
        <v>6</v>
      </c>
    </row>
    <row r="74" spans="1:4" ht="17.649999999999999" thickBot="1" x14ac:dyDescent="0.5">
      <c r="A74" s="66">
        <v>73</v>
      </c>
      <c r="B74" s="78" t="s">
        <v>504</v>
      </c>
      <c r="C74" s="68">
        <v>47.31</v>
      </c>
      <c r="D74" s="68" t="s">
        <v>6</v>
      </c>
    </row>
    <row r="75" spans="1:4" ht="17.649999999999999" thickBot="1" x14ac:dyDescent="0.5">
      <c r="A75" s="66">
        <v>74</v>
      </c>
      <c r="B75" s="78" t="s">
        <v>39</v>
      </c>
      <c r="C75" s="68">
        <v>46.81</v>
      </c>
      <c r="D75" s="68" t="s">
        <v>6</v>
      </c>
    </row>
    <row r="76" spans="1:4" ht="17.649999999999999" thickBot="1" x14ac:dyDescent="0.5">
      <c r="A76" s="66">
        <v>75</v>
      </c>
      <c r="B76" s="78" t="s">
        <v>31</v>
      </c>
      <c r="C76" s="68">
        <v>46.71</v>
      </c>
      <c r="D76" s="68" t="s">
        <v>6</v>
      </c>
    </row>
    <row r="77" spans="1:4" ht="17.649999999999999" thickBot="1" x14ac:dyDescent="0.5">
      <c r="A77" s="66">
        <v>76</v>
      </c>
      <c r="B77" s="78" t="s">
        <v>507</v>
      </c>
      <c r="C77" s="68">
        <v>46</v>
      </c>
      <c r="D77" s="68" t="s">
        <v>6</v>
      </c>
    </row>
    <row r="78" spans="1:4" ht="17.649999999999999" thickBot="1" x14ac:dyDescent="0.5">
      <c r="A78" s="66">
        <v>77</v>
      </c>
      <c r="B78" s="79" t="s">
        <v>496</v>
      </c>
      <c r="C78" s="68">
        <v>45.66</v>
      </c>
      <c r="D78" s="68" t="s">
        <v>6</v>
      </c>
    </row>
    <row r="79" spans="1:4" ht="17.649999999999999" thickBot="1" x14ac:dyDescent="0.5">
      <c r="A79" s="66">
        <v>78</v>
      </c>
      <c r="B79" s="79" t="s">
        <v>474</v>
      </c>
      <c r="C79" s="68">
        <v>45.64</v>
      </c>
      <c r="D79" s="68" t="s">
        <v>6</v>
      </c>
    </row>
    <row r="80" spans="1:4" ht="17.649999999999999" thickBot="1" x14ac:dyDescent="0.5">
      <c r="A80" s="66">
        <v>79</v>
      </c>
      <c r="B80" s="79" t="s">
        <v>38</v>
      </c>
      <c r="C80" s="68">
        <v>45.52</v>
      </c>
      <c r="D80" s="68" t="s">
        <v>6</v>
      </c>
    </row>
    <row r="81" spans="1:4" ht="17.649999999999999" thickBot="1" x14ac:dyDescent="0.5">
      <c r="A81" s="66">
        <v>80</v>
      </c>
      <c r="B81" s="79" t="s">
        <v>461</v>
      </c>
      <c r="C81" s="68">
        <v>45.49</v>
      </c>
      <c r="D81" s="68" t="s">
        <v>6</v>
      </c>
    </row>
    <row r="82" spans="1:4" ht="17.649999999999999" thickBot="1" x14ac:dyDescent="0.5">
      <c r="A82" s="66">
        <v>81</v>
      </c>
      <c r="B82" s="78" t="s">
        <v>33</v>
      </c>
      <c r="C82" s="68">
        <v>45.48</v>
      </c>
      <c r="D82" s="68" t="s">
        <v>6</v>
      </c>
    </row>
    <row r="83" spans="1:4" ht="17.649999999999999" thickBot="1" x14ac:dyDescent="0.5">
      <c r="A83" s="66">
        <v>82</v>
      </c>
      <c r="B83" s="78" t="s">
        <v>458</v>
      </c>
      <c r="C83" s="68">
        <v>45.33</v>
      </c>
      <c r="D83" s="68" t="s">
        <v>6</v>
      </c>
    </row>
    <row r="84" spans="1:4" ht="17.649999999999999" thickBot="1" x14ac:dyDescent="0.5">
      <c r="A84" s="66">
        <v>83</v>
      </c>
      <c r="B84" s="78" t="s">
        <v>443</v>
      </c>
      <c r="C84" s="68">
        <v>45.19</v>
      </c>
      <c r="D84" s="68" t="s">
        <v>6</v>
      </c>
    </row>
    <row r="85" spans="1:4" ht="17.649999999999999" thickBot="1" x14ac:dyDescent="0.5">
      <c r="A85" s="66">
        <v>84</v>
      </c>
      <c r="B85" s="78" t="s">
        <v>513</v>
      </c>
      <c r="C85" s="68">
        <v>45.1</v>
      </c>
      <c r="D85" s="68" t="s">
        <v>6</v>
      </c>
    </row>
    <row r="86" spans="1:4" ht="17.649999999999999" thickBot="1" x14ac:dyDescent="0.5">
      <c r="A86" s="80">
        <v>85</v>
      </c>
      <c r="B86" s="81" t="s">
        <v>452</v>
      </c>
      <c r="C86" s="82">
        <v>44.7</v>
      </c>
      <c r="D86" s="83" t="s">
        <v>446</v>
      </c>
    </row>
    <row r="87" spans="1:4" ht="17.649999999999999" thickBot="1" x14ac:dyDescent="0.5">
      <c r="A87" s="80">
        <v>86</v>
      </c>
      <c r="B87" s="81" t="s">
        <v>477</v>
      </c>
      <c r="C87" s="82">
        <v>44.31</v>
      </c>
      <c r="D87" s="83" t="s">
        <v>446</v>
      </c>
    </row>
    <row r="88" spans="1:4" ht="17.649999999999999" thickBot="1" x14ac:dyDescent="0.5">
      <c r="A88" s="80">
        <v>87</v>
      </c>
      <c r="B88" s="81" t="s">
        <v>36</v>
      </c>
      <c r="C88" s="82">
        <v>44.27</v>
      </c>
      <c r="D88" s="83" t="s">
        <v>446</v>
      </c>
    </row>
    <row r="89" spans="1:4" ht="17.649999999999999" thickBot="1" x14ac:dyDescent="0.5">
      <c r="A89" s="80">
        <v>88</v>
      </c>
      <c r="B89" s="84" t="s">
        <v>514</v>
      </c>
      <c r="C89" s="82">
        <v>44.23</v>
      </c>
      <c r="D89" s="83" t="s">
        <v>446</v>
      </c>
    </row>
    <row r="90" spans="1:4" ht="17.649999999999999" thickBot="1" x14ac:dyDescent="0.5">
      <c r="A90" s="80">
        <v>89</v>
      </c>
      <c r="B90" s="81" t="s">
        <v>506</v>
      </c>
      <c r="C90" s="82">
        <v>43.87</v>
      </c>
      <c r="D90" s="83" t="s">
        <v>446</v>
      </c>
    </row>
    <row r="91" spans="1:4" ht="17.649999999999999" thickBot="1" x14ac:dyDescent="0.5">
      <c r="A91" s="80">
        <v>90</v>
      </c>
      <c r="B91" s="81" t="s">
        <v>41</v>
      </c>
      <c r="C91" s="82">
        <v>43.86</v>
      </c>
      <c r="D91" s="83" t="s">
        <v>446</v>
      </c>
    </row>
    <row r="92" spans="1:4" ht="17.649999999999999" thickBot="1" x14ac:dyDescent="0.5">
      <c r="A92" s="80">
        <v>91</v>
      </c>
      <c r="B92" s="81" t="s">
        <v>450</v>
      </c>
      <c r="C92" s="82">
        <v>43.85</v>
      </c>
      <c r="D92" s="83" t="s">
        <v>446</v>
      </c>
    </row>
    <row r="93" spans="1:4" ht="17.649999999999999" thickBot="1" x14ac:dyDescent="0.5">
      <c r="A93" s="80">
        <v>92</v>
      </c>
      <c r="B93" s="81" t="s">
        <v>515</v>
      </c>
      <c r="C93" s="82">
        <v>43.83</v>
      </c>
      <c r="D93" s="83" t="s">
        <v>446</v>
      </c>
    </row>
    <row r="94" spans="1:4" ht="17.649999999999999" thickBot="1" x14ac:dyDescent="0.5">
      <c r="A94" s="80">
        <v>93</v>
      </c>
      <c r="B94" s="84" t="s">
        <v>490</v>
      </c>
      <c r="C94" s="82">
        <v>43.77</v>
      </c>
      <c r="D94" s="83" t="s">
        <v>446</v>
      </c>
    </row>
    <row r="95" spans="1:4" ht="17.649999999999999" thickBot="1" x14ac:dyDescent="0.5">
      <c r="A95" s="80">
        <v>94</v>
      </c>
      <c r="B95" s="84" t="s">
        <v>459</v>
      </c>
      <c r="C95" s="82">
        <v>43.02</v>
      </c>
      <c r="D95" s="83" t="s">
        <v>446</v>
      </c>
    </row>
    <row r="96" spans="1:4" ht="17.649999999999999" thickBot="1" x14ac:dyDescent="0.5">
      <c r="A96" s="80">
        <v>95</v>
      </c>
      <c r="B96" s="84" t="s">
        <v>454</v>
      </c>
      <c r="C96" s="82">
        <v>42.8</v>
      </c>
      <c r="D96" s="83" t="s">
        <v>446</v>
      </c>
    </row>
    <row r="97" spans="1:4" ht="17.649999999999999" thickBot="1" x14ac:dyDescent="0.5">
      <c r="A97" s="80">
        <v>96</v>
      </c>
      <c r="B97" s="81" t="s">
        <v>467</v>
      </c>
      <c r="C97" s="82">
        <v>42.49</v>
      </c>
      <c r="D97" s="83" t="s">
        <v>446</v>
      </c>
    </row>
    <row r="98" spans="1:4" ht="17.649999999999999" thickBot="1" x14ac:dyDescent="0.5">
      <c r="A98" s="80">
        <v>97</v>
      </c>
      <c r="B98" s="84" t="s">
        <v>478</v>
      </c>
      <c r="C98" s="82">
        <v>42.32</v>
      </c>
      <c r="D98" s="83" t="s">
        <v>446</v>
      </c>
    </row>
    <row r="99" spans="1:4" ht="17.649999999999999" thickBot="1" x14ac:dyDescent="0.5">
      <c r="A99" s="80">
        <v>98</v>
      </c>
      <c r="B99" s="81" t="s">
        <v>481</v>
      </c>
      <c r="C99" s="82">
        <v>42.31</v>
      </c>
      <c r="D99" s="83" t="s">
        <v>446</v>
      </c>
    </row>
    <row r="100" spans="1:4" ht="17.649999999999999" thickBot="1" x14ac:dyDescent="0.5">
      <c r="A100" s="80">
        <v>99</v>
      </c>
      <c r="B100" s="84" t="s">
        <v>479</v>
      </c>
      <c r="C100" s="82">
        <v>41.35</v>
      </c>
      <c r="D100" s="83" t="s">
        <v>446</v>
      </c>
    </row>
    <row r="101" spans="1:4" ht="17.649999999999999" thickBot="1" x14ac:dyDescent="0.5">
      <c r="A101" s="80">
        <v>100</v>
      </c>
      <c r="B101" s="81" t="s">
        <v>485</v>
      </c>
      <c r="C101" s="82">
        <v>41.29</v>
      </c>
      <c r="D101" s="83" t="s">
        <v>446</v>
      </c>
    </row>
    <row r="102" spans="1:4" ht="17.649999999999999" thickBot="1" x14ac:dyDescent="0.5">
      <c r="A102" s="80">
        <v>101</v>
      </c>
      <c r="B102" s="81" t="s">
        <v>519</v>
      </c>
      <c r="C102" s="82">
        <v>41.23</v>
      </c>
      <c r="D102" s="83" t="s">
        <v>446</v>
      </c>
    </row>
    <row r="103" spans="1:4" ht="17.649999999999999" thickBot="1" x14ac:dyDescent="0.5">
      <c r="A103" s="80">
        <v>102</v>
      </c>
      <c r="B103" s="84" t="s">
        <v>493</v>
      </c>
      <c r="C103" s="82">
        <v>41.2</v>
      </c>
      <c r="D103" s="83" t="s">
        <v>446</v>
      </c>
    </row>
    <row r="104" spans="1:4" ht="17.649999999999999" thickBot="1" x14ac:dyDescent="0.5">
      <c r="A104" s="80">
        <v>103</v>
      </c>
      <c r="B104" s="81" t="s">
        <v>460</v>
      </c>
      <c r="C104" s="82">
        <v>40.520000000000003</v>
      </c>
      <c r="D104" s="83" t="s">
        <v>446</v>
      </c>
    </row>
    <row r="105" spans="1:4" ht="17.649999999999999" thickBot="1" x14ac:dyDescent="0.5">
      <c r="A105" s="80">
        <v>104</v>
      </c>
      <c r="B105" s="81" t="s">
        <v>20</v>
      </c>
      <c r="C105" s="82">
        <v>40.020000000000003</v>
      </c>
      <c r="D105" s="83" t="s">
        <v>446</v>
      </c>
    </row>
    <row r="106" spans="1:4" ht="17.649999999999999" thickBot="1" x14ac:dyDescent="0.5">
      <c r="A106" s="80">
        <v>105</v>
      </c>
      <c r="B106" s="81" t="s">
        <v>465</v>
      </c>
      <c r="C106" s="82">
        <v>38.57</v>
      </c>
      <c r="D106" s="83" t="s">
        <v>446</v>
      </c>
    </row>
    <row r="107" spans="1:4" ht="17.649999999999999" thickBot="1" x14ac:dyDescent="0.5">
      <c r="A107" s="80">
        <v>106</v>
      </c>
      <c r="B107" s="81" t="s">
        <v>495</v>
      </c>
      <c r="C107" s="82">
        <v>38.36</v>
      </c>
      <c r="D107" s="83" t="s">
        <v>446</v>
      </c>
    </row>
    <row r="108" spans="1:4" ht="17.649999999999999" thickBot="1" x14ac:dyDescent="0.5">
      <c r="A108" s="80">
        <v>107</v>
      </c>
      <c r="B108" s="81" t="s">
        <v>448</v>
      </c>
      <c r="C108" s="82">
        <v>38.229999999999997</v>
      </c>
      <c r="D108" s="83" t="s">
        <v>446</v>
      </c>
    </row>
    <row r="109" spans="1:4" ht="17.649999999999999" thickBot="1" x14ac:dyDescent="0.5">
      <c r="A109" s="80">
        <v>108</v>
      </c>
      <c r="B109" s="81" t="s">
        <v>486</v>
      </c>
      <c r="C109" s="82">
        <v>37.99</v>
      </c>
      <c r="D109" s="83" t="s">
        <v>446</v>
      </c>
    </row>
    <row r="110" spans="1:4" ht="17.649999999999999" thickBot="1" x14ac:dyDescent="0.5">
      <c r="A110" s="80">
        <v>109</v>
      </c>
      <c r="B110" s="81" t="s">
        <v>517</v>
      </c>
      <c r="C110" s="82">
        <v>37.82</v>
      </c>
      <c r="D110" s="83" t="s">
        <v>446</v>
      </c>
    </row>
    <row r="111" spans="1:4" ht="17.649999999999999" thickBot="1" x14ac:dyDescent="0.5">
      <c r="A111" s="80">
        <v>110</v>
      </c>
      <c r="B111" s="81" t="s">
        <v>487</v>
      </c>
      <c r="C111" s="82">
        <v>37.5</v>
      </c>
      <c r="D111" s="83" t="s">
        <v>446</v>
      </c>
    </row>
    <row r="112" spans="1:4" ht="17.649999999999999" thickBot="1" x14ac:dyDescent="0.5">
      <c r="A112" s="80">
        <v>111</v>
      </c>
      <c r="B112" s="81" t="s">
        <v>472</v>
      </c>
      <c r="C112" s="82">
        <v>36.9</v>
      </c>
      <c r="D112" s="83" t="s">
        <v>446</v>
      </c>
    </row>
    <row r="113" spans="1:4" ht="17.649999999999999" thickBot="1" x14ac:dyDescent="0.5">
      <c r="A113" s="80">
        <v>112</v>
      </c>
      <c r="B113" s="81" t="s">
        <v>509</v>
      </c>
      <c r="C113" s="82">
        <v>36.64</v>
      </c>
      <c r="D113" s="83" t="s">
        <v>446</v>
      </c>
    </row>
    <row r="114" spans="1:4" ht="17.649999999999999" thickBot="1" x14ac:dyDescent="0.5">
      <c r="A114" s="80">
        <v>113</v>
      </c>
      <c r="B114" s="81" t="s">
        <v>488</v>
      </c>
      <c r="C114" s="82">
        <v>36.36</v>
      </c>
      <c r="D114" s="83" t="s">
        <v>446</v>
      </c>
    </row>
    <row r="115" spans="1:4" ht="17.649999999999999" thickBot="1" x14ac:dyDescent="0.5">
      <c r="A115" s="80">
        <v>114</v>
      </c>
      <c r="B115" s="84" t="s">
        <v>512</v>
      </c>
      <c r="C115" s="82">
        <v>35.83</v>
      </c>
      <c r="D115" s="83" t="s">
        <v>446</v>
      </c>
    </row>
    <row r="116" spans="1:4" ht="17.649999999999999" thickBot="1" x14ac:dyDescent="0.5">
      <c r="A116" s="80">
        <v>115</v>
      </c>
      <c r="B116" s="84" t="s">
        <v>489</v>
      </c>
      <c r="C116" s="82">
        <v>34.97</v>
      </c>
      <c r="D116" s="83" t="s">
        <v>446</v>
      </c>
    </row>
    <row r="117" spans="1:4" ht="17.649999999999999" thickBot="1" x14ac:dyDescent="0.5">
      <c r="A117" s="80">
        <v>116</v>
      </c>
      <c r="B117" s="81" t="s">
        <v>455</v>
      </c>
      <c r="C117" s="82">
        <v>34.130000000000003</v>
      </c>
      <c r="D117" s="83" t="s">
        <v>446</v>
      </c>
    </row>
    <row r="118" spans="1:4" ht="17.649999999999999" thickBot="1" x14ac:dyDescent="0.5">
      <c r="A118" s="80">
        <v>117</v>
      </c>
      <c r="B118" s="84" t="s">
        <v>522</v>
      </c>
      <c r="C118" s="82">
        <v>33.1</v>
      </c>
      <c r="D118" s="83" t="s">
        <v>446</v>
      </c>
    </row>
    <row r="119" spans="1:4" ht="17.649999999999999" thickBot="1" x14ac:dyDescent="0.5">
      <c r="A119" s="80">
        <v>118</v>
      </c>
      <c r="B119" s="81" t="s">
        <v>43</v>
      </c>
      <c r="C119" s="82">
        <v>32.93</v>
      </c>
      <c r="D119" s="83" t="s">
        <v>446</v>
      </c>
    </row>
    <row r="120" spans="1:4" ht="17.649999999999999" thickBot="1" x14ac:dyDescent="0.5">
      <c r="A120" s="80">
        <v>119</v>
      </c>
      <c r="B120" s="84" t="s">
        <v>518</v>
      </c>
      <c r="C120" s="82">
        <v>32.83</v>
      </c>
      <c r="D120" s="83" t="s">
        <v>446</v>
      </c>
    </row>
    <row r="121" spans="1:4" ht="17.649999999999999" thickBot="1" x14ac:dyDescent="0.5">
      <c r="A121" s="80">
        <v>120</v>
      </c>
      <c r="B121" s="81" t="s">
        <v>463</v>
      </c>
      <c r="C121" s="82">
        <v>32.51</v>
      </c>
      <c r="D121" s="83" t="s">
        <v>446</v>
      </c>
    </row>
    <row r="122" spans="1:4" ht="17.649999999999999" thickBot="1" x14ac:dyDescent="0.5">
      <c r="A122" s="80">
        <v>121</v>
      </c>
      <c r="B122" s="81" t="s">
        <v>473</v>
      </c>
      <c r="C122" s="82">
        <v>25.09</v>
      </c>
      <c r="D122" s="83" t="s">
        <v>446</v>
      </c>
    </row>
  </sheetData>
  <sortState xmlns:xlrd2="http://schemas.microsoft.com/office/spreadsheetml/2017/richdata2" ref="A2:D122">
    <sortCondition descending="1" ref="C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RASH MODELI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2025-04-20T11:11:42Z</cp:lastPrinted>
  <dcterms:created xsi:type="dcterms:W3CDTF">2024-12-08T09:20:34Z</dcterms:created>
  <dcterms:modified xsi:type="dcterms:W3CDTF">2025-12-14T15:56:28Z</dcterms:modified>
</cp:coreProperties>
</file>